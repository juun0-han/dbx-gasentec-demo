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87ac1fdb145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ons" sheetId="1" r:id="R2b8b326a3454422e"/>
    <x:sheet xmlns:r="http://schemas.openxmlformats.org/officeDocument/2006/relationships" name="Sites" sheetId="2" r:id="R3ce05f2ecdf94774"/>
    <x:sheet xmlns:r="http://schemas.openxmlformats.org/officeDocument/2006/relationships" name="Assets" sheetId="3" r:id="R60e2940f7f9c4eed"/>
    <x:sheet xmlns:r="http://schemas.openxmlformats.org/officeDocument/2006/relationships" name="Summary" sheetId="4" r:id="R8e2dfba8bc084d30"/>
    <x:sheet xmlns:r="http://schemas.openxmlformats.org/officeDocument/2006/relationships" name="Genie Benchmarks" sheetId="5" r:id="Rc4a09a2a71bb4203"/>
    <x:sheet xmlns:r="http://schemas.openxmlformats.org/officeDocument/2006/relationships" name="Agent Evaluation" sheetId="6" r:id="R174b30d28d394463"/>
    <x:sheet xmlns:r="http://schemas.openxmlformats.org/officeDocument/2006/relationships" name="Expected Results" sheetId="7" r:id="Ra5240e496db1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&quot;$&quot;#,##0.00"/>
    <x:numFmt numFmtId="202" formatCode="@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4F"/>
      </x:patternFill>
    </x:fill>
  </x:fills>
  <x:borders count="4">
    <x:border/>
    <x:border>
      <x:left style="thin">
        <x:color rgb="FF9FB8C2"/>
      </x:left>
      <x:top style="thin">
        <x:color rgb="FF9FB8C2"/>
      </x:top>
      <x:bottom style="thin">
        <x:color rgb="FF9FB8C2"/>
      </x:bottom>
    </x:border>
    <x:border>
      <x:top style="thin">
        <x:color rgb="FF9FB8C2"/>
      </x:top>
      <x:bottom style="thin">
        <x:color rgb="FF9FB8C2"/>
      </x:bottom>
    </x:border>
    <x:border>
      <x:right style="thin">
        <x:color rgb="FF9FB8C2"/>
      </x:right>
      <x:top style="thin">
        <x:color rgb="FF9FB8C2"/>
      </x:top>
      <x:bottom style="thin">
        <x:color rgb="FF9FB8C2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78295592a4d29" /><Relationship Type="http://schemas.openxmlformats.org/officeDocument/2006/relationships/theme" Target="/xl/theme/theme1.xml" Id="R20fd9abad37a40b9" /><Relationship Type="http://schemas.openxmlformats.org/officeDocument/2006/relationships/sharedStrings" Target="/xl/sharedStrings.xml" Id="R7e9a41f57fc0406e" /><Relationship Type="http://schemas.openxmlformats.org/officeDocument/2006/relationships/worksheet" Target="/xl/worksheets/sheet1.xml" Id="R2b8b326a3454422e" /><Relationship Type="http://schemas.openxmlformats.org/officeDocument/2006/relationships/worksheet" Target="/xl/worksheets/sheet2.xml" Id="R3ce05f2ecdf94774" /><Relationship Type="http://schemas.openxmlformats.org/officeDocument/2006/relationships/worksheet" Target="/xl/worksheets/sheet3.xml" Id="R60e2940f7f9c4eed" /><Relationship Type="http://schemas.openxmlformats.org/officeDocument/2006/relationships/worksheet" Target="/xl/worksheets/sheet4.xml" Id="R8e2dfba8bc084d30" /><Relationship Type="http://schemas.openxmlformats.org/officeDocument/2006/relationships/worksheet" Target="/xl/worksheets/sheet5.xml" Id="Rc4a09a2a71bb4203" /><Relationship Type="http://schemas.openxmlformats.org/officeDocument/2006/relationships/worksheet" Target="/xl/worksheets/sheet6.xml" Id="R174b30d28d394463" /><Relationship Type="http://schemas.openxmlformats.org/officeDocument/2006/relationships/worksheet" Target="/xl/worksheets/sheet7.xml" Id="Ra5240e496db14a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04aef2832c4aad" /><Relationship Type="http://schemas.openxmlformats.org/officeDocument/2006/relationships/chart" Target="/xl/drawings/charts/chart2.xml" Id="Ra852f29b884045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total send-out (mmscfd)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Total send-out</c:v>
          </c:tx>
          <c:marker>
            <c:symbol val="none"/>
          </c:marker>
          <c:cat>
            <c:strRef>
              <c:f>'Summary'!$J$13:$J$18</c:f>
              <c:strCache>
                <c:ptCount val="0"/>
              </c:strCache>
            </c:strRef>
          </c:cat>
          <c:val>
            <c:numRef>
              <c:f>'Summary'!$K$13:$K$18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Total send-out by site (mmscfd)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send-out</c:v>
          </c:tx>
          <c:cat>
            <c:strRef>
              <c:f>'Summary'!$B$13:$B$16</c:f>
              <c:strCache>
                <c:ptCount val="0"/>
              </c:strCache>
            </c:strRef>
          </c:cat>
          <c:val>
            <c:numRef>
              <c:f>'Summary'!$C$13:$C$16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04aef2832c4aad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52f29b884045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rationsTable" displayName="OperationsTable" ref="A1:O301" headerRowCount="1" totalsRowCount="0" totalsRowShown="0">
  <x:tableColumns count="15">
    <x:tableColumn id="1" name="operation_id"/>
    <x:tableColumn id="2" name="operation_ts"/>
    <x:tableColumn id="3" name="site_id"/>
    <x:tableColumn id="4" name="asset_id"/>
    <x:tableColumn id="5" name="shift"/>
    <x:tableColumn id="6" name="sendout_mmscfd"/>
    <x:tableColumn id="7" name="throughput_mmbtu"/>
    <x:tableColumn id="8" name="boiloff_rate_pct"/>
    <x:tableColumn id="9" name="uptime_pct"/>
    <x:tableColumn id="10" name="downtime_hours"/>
    <x:tableColumn id="11" name="maintenance_type"/>
    <x:tableColumn id="12" name="maintenance_cost_usd"/>
    <x:tableColumn id="13" name="incident_count"/>
    <x:tableColumn id="14" name="status"/>
    <x:tableColumn id="15" name="operation_mon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itesTable" displayName="ReviewSitesTable" ref="A1:H5" headerRowCount="1" totalsRowCount="0" totalsRowShown="0">
  <x:tableColumns count="8">
    <x:tableColumn id="1" name="site_id"/>
    <x:tableColumn id="2" name="site_name"/>
    <x:tableColumn id="3" name="country"/>
    <x:tableColumn id="4" name="region"/>
    <x:tableColumn id="5" name="terminal_type"/>
    <x:tableColumn id="6" name="commissioned_date"/>
    <x:tableColumn id="7" name="design_sendout_mmscfd"/>
    <x:tableColumn id="8" name="sit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AssetsTable" displayName="ReviewAssetsTable" ref="A1:E13" headerRowCount="1" totalsRowCount="0" totalsRowShown="0">
  <x:tableColumns count="5">
    <x:tableColumn id="1" name="asset_id"/>
    <x:tableColumn id="2" name="site_id"/>
    <x:tableColumn id="3" name="asset_name"/>
    <x:tableColumn id="4" name="asset_category"/>
    <x:tableColumn id="5" name="critica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enchmarksTable" displayName="BenchmarksTable" ref="A1:E7" headerRowCount="1" totalsRowCount="0" totalsRowShown="0">
  <x:tableColumns count="5">
    <x:tableColumn id="1" name="benchmark_id"/>
    <x:tableColumn id="2" name="question"/>
    <x:tableColumn id="3" name="expected_metric"/>
    <x:tableColumn id="4" name="expected_group_by"/>
    <x:tableColumn id="5" name="acceptance_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gentEvalTable" displayName="AgentEvalTable" ref="A1:E5" headerRowCount="1" totalsRowCount="0" totalsRowShown="0">
  <x:tableColumns count="5">
    <x:tableColumn id="1" name="case_id"/>
    <x:tableColumn id="2" name="question"/>
    <x:tableColumn id="3" name="expected_route"/>
    <x:tableColumn id="4" name="expected_behavior"/>
    <x:tableColumn id="5" name="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pectedTable" displayName="ExpectedTable" ref="A1:C8" headerRowCount="1" totalsRowCount="0" totalsRowShown="0">
  <x:tableColumns count="3">
    <x:tableColumn id="1" name="metric"/>
    <x:tableColumn id="2" name="expected_value"/>
    <x:tableColumn id="3" name="validation_sq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5a67035e0347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c10c9694b442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9cbfacf31240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12b84fe168a42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f988ef022c45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d33e4ade704d5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83b1771cfb4f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22" hidden="0" customWidth="1"/>
    <x:col min="13" max="13" width="14" hidden="0" customWidth="1"/>
    <x:col min="14" max="14" width="14" hidden="0" customWidth="1"/>
    <x:col min="15" max="15" width="16" hidden="0" customWidth="1"/>
  </x:cols>
  <x:sheetData>
    <x:row r="1" ht="24" customHeight="1">
      <x:c r="A1" s="6" t="str">
        <x:v>operation_id</x:v>
      </x:c>
      <x:c r="B1" s="7" t="str">
        <x:v>operation_ts</x:v>
      </x:c>
      <x:c r="C1" s="7" t="str">
        <x:v>site_id</x:v>
      </x:c>
      <x:c r="D1" s="7" t="str">
        <x:v>asset_id</x:v>
      </x:c>
      <x:c r="E1" s="7" t="str">
        <x:v>shift</x:v>
      </x:c>
      <x:c r="F1" s="7" t="str">
        <x:v>sendout_mmscfd</x:v>
      </x:c>
      <x:c r="G1" s="7" t="str">
        <x:v>throughput_mmbtu</x:v>
      </x:c>
      <x:c r="H1" s="7" t="str">
        <x:v>boiloff_rate_pct</x:v>
      </x:c>
      <x:c r="I1" s="7" t="str">
        <x:v>uptime_pct</x:v>
      </x:c>
      <x:c r="J1" s="7" t="str">
        <x:v>downtime_hours</x:v>
      </x:c>
      <x:c r="K1" s="7" t="str">
        <x:v>maintenance_type</x:v>
      </x:c>
      <x:c r="L1" s="7" t="str">
        <x:v>maintenance_cost_usd</x:v>
      </x:c>
      <x:c r="M1" s="7" t="str">
        <x:v>incident_count</x:v>
      </x:c>
      <x:c r="N1" s="7" t="str">
        <x:v>status</x:v>
      </x:c>
      <x:c r="O1" s="8" t="str">
        <x:v>operation_month</x:v>
      </x:c>
    </x:row>
    <x:row r="2">
      <x:c r="A2" s="5" t="str">
        <x:v>OP00001</x:v>
      </x:c>
      <x:c r="B2" s="5" t="str">
        <x:v>2026-01-01 00:00:00</x:v>
      </x:c>
      <x:c r="C2" s="5" t="str">
        <x:v>S001</x:v>
      </x:c>
      <x:c r="D2" s="5" t="str">
        <x:v>A001</x:v>
      </x:c>
      <x:c r="E2" s="5" t="str">
        <x:v>NIGHT</x:v>
      </x:c>
      <x:c r="F2" s="9" t="n">
        <x:v>406.06</x:v>
      </x:c>
      <x:c r="G2" s="9" t="n">
        <x:v>540712.84</x:v>
      </x:c>
      <x:c r="H2" s="9" t="n">
        <x:v>0.479</x:v>
      </x:c>
      <x:c r="I2" s="9" t="n">
        <x:v>97.79</x:v>
      </x:c>
      <x:c r="J2" s="9" t="n">
        <x:v>4.05</x:v>
      </x:c>
      <x:c r="K2" s="5" t="str">
        <x:v>CORRECTIVE</x:v>
      </x:c>
      <x:c r="L2" s="10" t="n">
        <x:v>47341.19</x:v>
      </x:c>
      <x:c r="M2" s="5" t="n">
        <x:v>1</x:v>
      </x:c>
      <x:c r="N2" s="5" t="str">
        <x:v>ALARM</x:v>
      </x:c>
      <x:c r="O2" s="11" t="str">
        <x:f>LEFT(B2,7)</x:f>
        <x:v>2026-01</x:v>
      </x:c>
    </x:row>
    <x:row r="3">
      <x:c r="A3" s="5" t="str">
        <x:v>OP00002</x:v>
      </x:c>
      <x:c r="B3" s="5" t="str">
        <x:v>2026-01-03 04:00:00</x:v>
      </x:c>
      <x:c r="C3" s="5" t="str">
        <x:v>S002</x:v>
      </x:c>
      <x:c r="D3" s="5" t="str">
        <x:v>A004</x:v>
      </x:c>
      <x:c r="E3" s="5" t="str">
        <x:v>NIGHT</x:v>
      </x:c>
      <x:c r="F3" s="9" t="n">
        <x:v>93.76</x:v>
      </x:c>
      <x:c r="G3" s="9" t="n">
        <x:v>117456.9</x:v>
      </x:c>
      <x:c r="H3" s="9" t="n">
        <x:v>0.187</x:v>
      </x:c>
      <x:c r="I3" s="9" t="n">
        <x:v>96.27</x:v>
      </x:c>
      <x:c r="J3" s="9" t="n">
        <x:v>0.14</x:v>
      </x:c>
      <x:c r="K3" s="5" t="str">
        <x:v>NONE</x:v>
      </x:c>
      <x:c r="L3" s="10" t="n">
        <x:v>0</x:v>
      </x:c>
      <x:c r="M3" s="5" t="n">
        <x:v>0</x:v>
      </x:c>
      <x:c r="N3" s="5" t="str">
        <x:v>NORMAL</x:v>
      </x:c>
      <x:c r="O3" s="11" t="str">
        <x:f>LEFT(B3,7)</x:f>
        <x:v>2026-01</x:v>
      </x:c>
    </x:row>
    <x:row r="4">
      <x:c r="A4" s="5" t="str">
        <x:v>OP00003</x:v>
      </x:c>
      <x:c r="B4" s="5" t="str">
        <x:v>2026-01-05 08:00:00</x:v>
      </x:c>
      <x:c r="C4" s="5" t="str">
        <x:v>S003</x:v>
      </x:c>
      <x:c r="D4" s="5" t="str">
        <x:v>A007</x:v>
      </x:c>
      <x:c r="E4" s="5" t="str">
        <x:v>DAY</x:v>
      </x:c>
      <x:c r="F4" s="9" t="n">
        <x:v>543.09</x:v>
      </x:c>
      <x:c r="G4" s="9" t="n">
        <x:v>746557.55</x:v>
      </x:c>
      <x:c r="H4" s="9" t="n">
        <x:v>0.132</x:v>
      </x:c>
      <x:c r="I4" s="9" t="n">
        <x:v>95.79</x:v>
      </x:c>
      <x:c r="J4" s="9" t="n">
        <x:v>0.22</x:v>
      </x:c>
      <x:c r="K4" s="5" t="str">
        <x:v>NONE</x:v>
      </x:c>
      <x:c r="L4" s="10" t="n">
        <x:v>0</x:v>
      </x:c>
      <x:c r="M4" s="5" t="n">
        <x:v>0</x:v>
      </x:c>
      <x:c r="N4" s="5" t="str">
        <x:v>NORMAL</x:v>
      </x:c>
      <x:c r="O4" s="11" t="str">
        <x:f>LEFT(B4,7)</x:f>
        <x:v>2026-01</x:v>
      </x:c>
    </x:row>
    <x:row r="5">
      <x:c r="A5" s="5" t="str">
        <x:v>OP00004</x:v>
      </x:c>
      <x:c r="B5" s="5" t="str">
        <x:v>2026-01-07 12:00:00</x:v>
      </x:c>
      <x:c r="C5" s="5" t="str">
        <x:v>S004</x:v>
      </x:c>
      <x:c r="D5" s="5" t="str">
        <x:v>A010</x:v>
      </x:c>
      <x:c r="E5" s="5" t="str">
        <x:v>DAY</x:v>
      </x:c>
      <x:c r="F5" s="9" t="n">
        <x:v>226.6</x:v>
      </x:c>
      <x:c r="G5" s="9" t="n">
        <x:v>297615.46</x:v>
      </x:c>
      <x:c r="H5" s="9" t="n">
        <x:v>0.234</x:v>
      </x:c>
      <x:c r="I5" s="9" t="n">
        <x:v>98.78</x:v>
      </x:c>
      <x:c r="J5" s="9" t="n">
        <x:v>0.2</x:v>
      </x:c>
      <x:c r="K5" s="5" t="str">
        <x:v>NONE</x:v>
      </x:c>
      <x:c r="L5" s="10" t="n">
        <x:v>0</x:v>
      </x:c>
      <x:c r="M5" s="5" t="n">
        <x:v>0</x:v>
      </x:c>
      <x:c r="N5" s="5" t="str">
        <x:v>NORMAL</x:v>
      </x:c>
      <x:c r="O5" s="11" t="str">
        <x:f>LEFT(B5,7)</x:f>
        <x:v>2026-01</x:v>
      </x:c>
    </x:row>
    <x:row r="6">
      <x:c r="A6" s="5" t="str">
        <x:v>OP00005</x:v>
      </x:c>
      <x:c r="B6" s="5" t="str">
        <x:v>2026-01-09 16:00:00</x:v>
      </x:c>
      <x:c r="C6" s="5" t="str">
        <x:v>S001</x:v>
      </x:c>
      <x:c r="D6" s="5" t="str">
        <x:v>A002</x:v>
      </x:c>
      <x:c r="E6" s="5" t="str">
        <x:v>DAY</x:v>
      </x:c>
      <x:c r="F6" s="9" t="n">
        <x:v>381.23</x:v>
      </x:c>
      <x:c r="G6" s="9" t="n">
        <x:v>507884.09</x:v>
      </x:c>
      <x:c r="H6" s="9" t="n">
        <x:v>0.291</x:v>
      </x:c>
      <x:c r="I6" s="9" t="n">
        <x:v>96.74</x:v>
      </x:c>
      <x:c r="J6" s="9" t="n">
        <x:v>0.24</x:v>
      </x:c>
      <x:c r="K6" s="5" t="str">
        <x:v>NONE</x:v>
      </x:c>
      <x:c r="L6" s="10" t="n">
        <x:v>0</x:v>
      </x:c>
      <x:c r="M6" s="5" t="n">
        <x:v>0</x:v>
      </x:c>
      <x:c r="N6" s="5" t="str">
        <x:v>NORMAL</x:v>
      </x:c>
      <x:c r="O6" s="11" t="str">
        <x:f>LEFT(B6,7)</x:f>
        <x:v>2026-01</x:v>
      </x:c>
    </x:row>
    <x:row r="7">
      <x:c r="A7" s="5" t="str">
        <x:v>OP00006</x:v>
      </x:c>
      <x:c r="B7" s="5" t="str">
        <x:v>2026-01-11 20:00:00</x:v>
      </x:c>
      <x:c r="C7" s="5" t="str">
        <x:v>S002</x:v>
      </x:c>
      <x:c r="D7" s="5" t="str">
        <x:v>A005</x:v>
      </x:c>
      <x:c r="E7" s="5" t="str">
        <x:v>NIGHT</x:v>
      </x:c>
      <x:c r="F7" s="9" t="n">
        <x:v>85.68</x:v>
      </x:c>
      <x:c r="G7" s="9" t="n">
        <x:v>112275.38</x:v>
      </x:c>
      <x:c r="H7" s="9" t="n">
        <x:v>0.476</x:v>
      </x:c>
      <x:c r="I7" s="9" t="n">
        <x:v>97.33</x:v>
      </x:c>
      <x:c r="J7" s="9" t="n">
        <x:v>0.09</x:v>
      </x:c>
      <x:c r="K7" s="5" t="str">
        <x:v>NONE</x:v>
      </x:c>
      <x:c r="L7" s="10" t="n">
        <x:v>0</x:v>
      </x:c>
      <x:c r="M7" s="5" t="n">
        <x:v>0</x:v>
      </x:c>
      <x:c r="N7" s="5" t="str">
        <x:v>NORMAL</x:v>
      </x:c>
      <x:c r="O7" s="11" t="str">
        <x:f>LEFT(B7,7)</x:f>
        <x:v>2026-01</x:v>
      </x:c>
    </x:row>
    <x:row r="8">
      <x:c r="A8" s="5" t="str">
        <x:v>OP00007</x:v>
      </x:c>
      <x:c r="B8" s="5" t="str">
        <x:v>2026-01-13 00:00:00</x:v>
      </x:c>
      <x:c r="C8" s="5" t="str">
        <x:v>S003</x:v>
      </x:c>
      <x:c r="D8" s="5" t="str">
        <x:v>A008</x:v>
      </x:c>
      <x:c r="E8" s="5" t="str">
        <x:v>NIGHT</x:v>
      </x:c>
      <x:c r="F8" s="9" t="n">
        <x:v>637.53</x:v>
      </x:c>
      <x:c r="G8" s="9" t="n">
        <x:v>840360.87</x:v>
      </x:c>
      <x:c r="H8" s="9" t="n">
        <x:v>0.605</x:v>
      </x:c>
      <x:c r="I8" s="9" t="n">
        <x:v>97</x:v>
      </x:c>
      <x:c r="J8" s="9" t="n">
        <x:v>0.02</x:v>
      </x:c>
      <x:c r="K8" s="5" t="str">
        <x:v>NONE</x:v>
      </x:c>
      <x:c r="L8" s="10" t="n">
        <x:v>0</x:v>
      </x:c>
      <x:c r="M8" s="5" t="n">
        <x:v>0</x:v>
      </x:c>
      <x:c r="N8" s="5" t="str">
        <x:v>NORMAL</x:v>
      </x:c>
      <x:c r="O8" s="11" t="str">
        <x:f>LEFT(B8,7)</x:f>
        <x:v>2026-01</x:v>
      </x:c>
    </x:row>
    <x:row r="9">
      <x:c r="A9" s="5" t="str">
        <x:v>OP00008</x:v>
      </x:c>
      <x:c r="B9" s="5" t="str">
        <x:v>2026-01-15 04:00:00</x:v>
      </x:c>
      <x:c r="C9" s="5" t="str">
        <x:v>S004</x:v>
      </x:c>
      <x:c r="D9" s="5" t="str">
        <x:v>A011</x:v>
      </x:c>
      <x:c r="E9" s="5" t="str">
        <x:v>NIGHT</x:v>
      </x:c>
      <x:c r="F9" s="9" t="n">
        <x:v>222.35</x:v>
      </x:c>
      <x:c r="G9" s="9" t="n">
        <x:v>277965.61</x:v>
      </x:c>
      <x:c r="H9" s="9" t="n">
        <x:v>0.611</x:v>
      </x:c>
      <x:c r="I9" s="9" t="n">
        <x:v>96.55</x:v>
      </x:c>
      <x:c r="J9" s="9" t="n">
        <x:v>1.49</x:v>
      </x:c>
      <x:c r="K9" s="5" t="str">
        <x:v>PREVENTIVE</x:v>
      </x:c>
      <x:c r="L9" s="10" t="n">
        <x:v>12120.82</x:v>
      </x:c>
      <x:c r="M9" s="5" t="n">
        <x:v>0</x:v>
      </x:c>
      <x:c r="N9" s="5" t="str">
        <x:v>NORMAL</x:v>
      </x:c>
      <x:c r="O9" s="11" t="str">
        <x:f>LEFT(B9,7)</x:f>
        <x:v>2026-01</x:v>
      </x:c>
    </x:row>
    <x:row r="10">
      <x:c r="A10" s="5" t="str">
        <x:v>OP00009</x:v>
      </x:c>
      <x:c r="B10" s="5" t="str">
        <x:v>2026-01-17 08:00:00</x:v>
      </x:c>
      <x:c r="C10" s="5" t="str">
        <x:v>S001</x:v>
      </x:c>
      <x:c r="D10" s="5" t="str">
        <x:v>A003</x:v>
      </x:c>
      <x:c r="E10" s="5" t="str">
        <x:v>DAY</x:v>
      </x:c>
      <x:c r="F10" s="9" t="n">
        <x:v>436.62</x:v>
      </x:c>
      <x:c r="G10" s="9" t="n">
        <x:v>597353.34</x:v>
      </x:c>
      <x:c r="H10" s="9" t="n">
        <x:v>0.518</x:v>
      </x:c>
      <x:c r="I10" s="9" t="n">
        <x:v>97.71</x:v>
      </x:c>
      <x:c r="J10" s="9" t="n">
        <x:v>0.09</x:v>
      </x:c>
      <x:c r="K10" s="5" t="str">
        <x:v>NONE</x:v>
      </x:c>
      <x:c r="L10" s="10" t="n">
        <x:v>0</x:v>
      </x:c>
      <x:c r="M10" s="5" t="n">
        <x:v>0</x:v>
      </x:c>
      <x:c r="N10" s="5" t="str">
        <x:v>NORMAL</x:v>
      </x:c>
      <x:c r="O10" s="11" t="str">
        <x:f>LEFT(B10,7)</x:f>
        <x:v>2026-01</x:v>
      </x:c>
    </x:row>
    <x:row r="11">
      <x:c r="A11" s="5" t="str">
        <x:v>OP00010</x:v>
      </x:c>
      <x:c r="B11" s="5" t="str">
        <x:v>2026-01-19 12:00:00</x:v>
      </x:c>
      <x:c r="C11" s="5" t="str">
        <x:v>S002</x:v>
      </x:c>
      <x:c r="D11" s="5" t="str">
        <x:v>A006</x:v>
      </x:c>
      <x:c r="E11" s="5" t="str">
        <x:v>DAY</x:v>
      </x:c>
      <x:c r="F11" s="9" t="n">
        <x:v>108.97</x:v>
      </x:c>
      <x:c r="G11" s="9" t="n">
        <x:v>138751.57</x:v>
      </x:c>
      <x:c r="H11" s="9" t="n">
        <x:v>0.359</x:v>
      </x:c>
      <x:c r="I11" s="9" t="n">
        <x:v>95.6</x:v>
      </x:c>
      <x:c r="J11" s="9" t="n">
        <x:v>0.12</x:v>
      </x:c>
      <x:c r="K11" s="5" t="str">
        <x:v>NONE</x:v>
      </x:c>
      <x:c r="L11" s="10" t="n">
        <x:v>0</x:v>
      </x:c>
      <x:c r="M11" s="5" t="n">
        <x:v>0</x:v>
      </x:c>
      <x:c r="N11" s="5" t="str">
        <x:v>NORMAL</x:v>
      </x:c>
      <x:c r="O11" s="11" t="str">
        <x:f>LEFT(B11,7)</x:f>
        <x:v>2026-01</x:v>
      </x:c>
    </x:row>
    <x:row r="12">
      <x:c r="A12" s="5" t="str">
        <x:v>OP00011</x:v>
      </x:c>
      <x:c r="B12" s="5" t="str">
        <x:v>2026-01-21 16:00:00</x:v>
      </x:c>
      <x:c r="C12" s="5" t="str">
        <x:v>S003</x:v>
      </x:c>
      <x:c r="D12" s="5" t="str">
        <x:v>A009</x:v>
      </x:c>
      <x:c r="E12" s="5" t="str">
        <x:v>DAY</x:v>
      </x:c>
      <x:c r="F12" s="9" t="n">
        <x:v>512.95</x:v>
      </x:c>
      <x:c r="G12" s="9" t="n">
        <x:v>701146.64</x:v>
      </x:c>
      <x:c r="H12" s="9" t="n">
        <x:v>0.17</x:v>
      </x:c>
      <x:c r="I12" s="9" t="n">
        <x:v>98.63</x:v>
      </x:c>
      <x:c r="J12" s="9" t="n">
        <x:v>0.04</x:v>
      </x:c>
      <x:c r="K12" s="5" t="str">
        <x:v>NONE</x:v>
      </x:c>
      <x:c r="L12" s="10" t="n">
        <x:v>0</x:v>
      </x:c>
      <x:c r="M12" s="5" t="n">
        <x:v>0</x:v>
      </x:c>
      <x:c r="N12" s="5" t="str">
        <x:v>NORMAL</x:v>
      </x:c>
      <x:c r="O12" s="11" t="str">
        <x:f>LEFT(B12,7)</x:f>
        <x:v>2026-01</x:v>
      </x:c>
    </x:row>
    <x:row r="13">
      <x:c r="A13" s="5" t="str">
        <x:v>OP00012</x:v>
      </x:c>
      <x:c r="B13" s="5" t="str">
        <x:v>2026-01-23 20:00:00</x:v>
      </x:c>
      <x:c r="C13" s="5" t="str">
        <x:v>S004</x:v>
      </x:c>
      <x:c r="D13" s="5" t="str">
        <x:v>A012</x:v>
      </x:c>
      <x:c r="E13" s="5" t="str">
        <x:v>NIGHT</x:v>
      </x:c>
      <x:c r="F13" s="9" t="n">
        <x:v>249.44</x:v>
      </x:c>
      <x:c r="G13" s="9" t="n">
        <x:v>322702.42</x:v>
      </x:c>
      <x:c r="H13" s="9" t="n">
        <x:v>0.247</x:v>
      </x:c>
      <x:c r="I13" s="9" t="n">
        <x:v>97.33</x:v>
      </x:c>
      <x:c r="J13" s="9" t="n">
        <x:v>1.05</x:v>
      </x:c>
      <x:c r="K13" s="5" t="str">
        <x:v>INSPECTION</x:v>
      </x:c>
      <x:c r="L13" s="10" t="n">
        <x:v>1547.1</x:v>
      </x:c>
      <x:c r="M13" s="5" t="n">
        <x:v>0</x:v>
      </x:c>
      <x:c r="N13" s="5" t="str">
        <x:v>NORMAL</x:v>
      </x:c>
      <x:c r="O13" s="11" t="str">
        <x:f>LEFT(B13,7)</x:f>
        <x:v>2026-01</x:v>
      </x:c>
    </x:row>
    <x:row r="14">
      <x:c r="A14" s="5" t="str">
        <x:v>OP00013</x:v>
      </x:c>
      <x:c r="B14" s="5" t="str">
        <x:v>2026-01-25 00:00:00</x:v>
      </x:c>
      <x:c r="C14" s="5" t="str">
        <x:v>S001</x:v>
      </x:c>
      <x:c r="D14" s="5" t="str">
        <x:v>A001</x:v>
      </x:c>
      <x:c r="E14" s="5" t="str">
        <x:v>NIGHT</x:v>
      </x:c>
      <x:c r="F14" s="9" t="n">
        <x:v>354.56</x:v>
      </x:c>
      <x:c r="G14" s="9" t="n">
        <x:v>443038.02</x:v>
      </x:c>
      <x:c r="H14" s="9" t="n">
        <x:v>0.475</x:v>
      </x:c>
      <x:c r="I14" s="9" t="n">
        <x:v>98.56</x:v>
      </x:c>
      <x:c r="J14" s="9" t="n">
        <x:v>0.01</x:v>
      </x:c>
      <x:c r="K14" s="5" t="str">
        <x:v>NONE</x:v>
      </x:c>
      <x:c r="L14" s="10" t="n">
        <x:v>0</x:v>
      </x:c>
      <x:c r="M14" s="5" t="n">
        <x:v>0</x:v>
      </x:c>
      <x:c r="N14" s="5" t="str">
        <x:v>NORMAL</x:v>
      </x:c>
      <x:c r="O14" s="11" t="str">
        <x:f>LEFT(B14,7)</x:f>
        <x:v>2026-01</x:v>
      </x:c>
    </x:row>
    <x:row r="15">
      <x:c r="A15" s="5" t="str">
        <x:v>OP00014</x:v>
      </x:c>
      <x:c r="B15" s="5" t="str">
        <x:v>2026-01-27 04:00:00</x:v>
      </x:c>
      <x:c r="C15" s="5" t="str">
        <x:v>S002</x:v>
      </x:c>
      <x:c r="D15" s="5" t="str">
        <x:v>A004</x:v>
      </x:c>
      <x:c r="E15" s="5" t="str">
        <x:v>NIGHT</x:v>
      </x:c>
      <x:c r="F15" s="9" t="n">
        <x:v>86.41</x:v>
      </x:c>
      <x:c r="G15" s="9" t="n">
        <x:v>108744.27</x:v>
      </x:c>
      <x:c r="H15" s="9" t="n">
        <x:v>0.527</x:v>
      </x:c>
      <x:c r="I15" s="9" t="n">
        <x:v>97.65</x:v>
      </x:c>
      <x:c r="J15" s="9" t="n">
        <x:v>0.23</x:v>
      </x:c>
      <x:c r="K15" s="5" t="str">
        <x:v>NONE</x:v>
      </x:c>
      <x:c r="L15" s="10" t="n">
        <x:v>0</x:v>
      </x:c>
      <x:c r="M15" s="5" t="n">
        <x:v>0</x:v>
      </x:c>
      <x:c r="N15" s="5" t="str">
        <x:v>NORMAL</x:v>
      </x:c>
      <x:c r="O15" s="11" t="str">
        <x:f>LEFT(B15,7)</x:f>
        <x:v>2026-01</x:v>
      </x:c>
    </x:row>
    <x:row r="16">
      <x:c r="A16" s="5" t="str">
        <x:v>OP00015</x:v>
      </x:c>
      <x:c r="B16" s="5" t="str">
        <x:v>2026-01-29 08:00:00</x:v>
      </x:c>
      <x:c r="C16" s="5" t="str">
        <x:v>S003</x:v>
      </x:c>
      <x:c r="D16" s="5" t="str">
        <x:v>A007</x:v>
      </x:c>
      <x:c r="E16" s="5" t="str">
        <x:v>DAY</x:v>
      </x:c>
      <x:c r="F16" s="9" t="n">
        <x:v>501.76</x:v>
      </x:c>
      <x:c r="G16" s="9" t="n">
        <x:v>629016.56</x:v>
      </x:c>
      <x:c r="H16" s="9" t="n">
        <x:v>0.173</x:v>
      </x:c>
      <x:c r="I16" s="9" t="n">
        <x:v>97.99</x:v>
      </x:c>
      <x:c r="J16" s="9" t="n">
        <x:v>1</x:v>
      </x:c>
      <x:c r="K16" s="5" t="str">
        <x:v>PREVENTIVE</x:v>
      </x:c>
      <x:c r="L16" s="10" t="n">
        <x:v>9617.85</x:v>
      </x:c>
      <x:c r="M16" s="5" t="n">
        <x:v>0</x:v>
      </x:c>
      <x:c r="N16" s="5" t="str">
        <x:v>NORMAL</x:v>
      </x:c>
      <x:c r="O16" s="11" t="str">
        <x:f>LEFT(B16,7)</x:f>
        <x:v>2026-01</x:v>
      </x:c>
    </x:row>
    <x:row r="17">
      <x:c r="A17" s="5" t="str">
        <x:v>OP00016</x:v>
      </x:c>
      <x:c r="B17" s="5" t="str">
        <x:v>2026-01-31 12:00:00</x:v>
      </x:c>
      <x:c r="C17" s="5" t="str">
        <x:v>S004</x:v>
      </x:c>
      <x:c r="D17" s="5" t="str">
        <x:v>A010</x:v>
      </x:c>
      <x:c r="E17" s="5" t="str">
        <x:v>DAY</x:v>
      </x:c>
      <x:c r="F17" s="9" t="n">
        <x:v>210.04</x:v>
      </x:c>
      <x:c r="G17" s="9" t="n">
        <x:v>289567.93</x:v>
      </x:c>
      <x:c r="H17" s="9" t="n">
        <x:v>0.299</x:v>
      </x:c>
      <x:c r="I17" s="9" t="n">
        <x:v>97.69</x:v>
      </x:c>
      <x:c r="J17" s="9" t="n">
        <x:v>0.19</x:v>
      </x:c>
      <x:c r="K17" s="5" t="str">
        <x:v>NONE</x:v>
      </x:c>
      <x:c r="L17" s="10" t="n">
        <x:v>0</x:v>
      </x:c>
      <x:c r="M17" s="5" t="n">
        <x:v>0</x:v>
      </x:c>
      <x:c r="N17" s="5" t="str">
        <x:v>NORMAL</x:v>
      </x:c>
      <x:c r="O17" s="11" t="str">
        <x:f>LEFT(B17,7)</x:f>
        <x:v>2026-01</x:v>
      </x:c>
    </x:row>
    <x:row r="18">
      <x:c r="A18" s="5" t="str">
        <x:v>OP00017</x:v>
      </x:c>
      <x:c r="B18" s="5" t="str">
        <x:v>2026-02-02 16:00:00</x:v>
      </x:c>
      <x:c r="C18" s="5" t="str">
        <x:v>S001</x:v>
      </x:c>
      <x:c r="D18" s="5" t="str">
        <x:v>A002</x:v>
      </x:c>
      <x:c r="E18" s="5" t="str">
        <x:v>DAY</x:v>
      </x:c>
      <x:c r="F18" s="9" t="n">
        <x:v>386.45</x:v>
      </x:c>
      <x:c r="G18" s="9" t="n">
        <x:v>531819.05</x:v>
      </x:c>
      <x:c r="H18" s="9" t="n">
        <x:v>0.244</x:v>
      </x:c>
      <x:c r="I18" s="9" t="n">
        <x:v>97.75</x:v>
      </x:c>
      <x:c r="J18" s="9" t="n">
        <x:v>0.19</x:v>
      </x:c>
      <x:c r="K18" s="5" t="str">
        <x:v>NONE</x:v>
      </x:c>
      <x:c r="L18" s="10" t="n">
        <x:v>0</x:v>
      </x:c>
      <x:c r="M18" s="5" t="n">
        <x:v>0</x:v>
      </x:c>
      <x:c r="N18" s="5" t="str">
        <x:v>NORMAL</x:v>
      </x:c>
      <x:c r="O18" s="11" t="str">
        <x:f>LEFT(B18,7)</x:f>
        <x:v>2026-02</x:v>
      </x:c>
    </x:row>
    <x:row r="19">
      <x:c r="A19" s="5" t="str">
        <x:v>OP00018</x:v>
      </x:c>
      <x:c r="B19" s="5" t="str">
        <x:v>2026-02-04 20:00:00</x:v>
      </x:c>
      <x:c r="C19" s="5" t="str">
        <x:v>S002</x:v>
      </x:c>
      <x:c r="D19" s="5" t="str">
        <x:v>A005</x:v>
      </x:c>
      <x:c r="E19" s="5" t="str">
        <x:v>NIGHT</x:v>
      </x:c>
      <x:c r="F19" s="9" t="n">
        <x:v>92.54</x:v>
      </x:c>
      <x:c r="G19" s="9" t="n">
        <x:v>119416.9</x:v>
      </x:c>
      <x:c r="H19" s="9" t="n">
        <x:v>0.315</x:v>
      </x:c>
      <x:c r="I19" s="9" t="n">
        <x:v>96.24</x:v>
      </x:c>
      <x:c r="J19" s="9" t="n">
        <x:v>0.14</x:v>
      </x:c>
      <x:c r="K19" s="5" t="str">
        <x:v>NONE</x:v>
      </x:c>
      <x:c r="L19" s="10" t="n">
        <x:v>0</x:v>
      </x:c>
      <x:c r="M19" s="5" t="n">
        <x:v>0</x:v>
      </x:c>
      <x:c r="N19" s="5" t="str">
        <x:v>NORMAL</x:v>
      </x:c>
      <x:c r="O19" s="11" t="str">
        <x:f>LEFT(B19,7)</x:f>
        <x:v>2026-02</x:v>
      </x:c>
    </x:row>
    <x:row r="20">
      <x:c r="A20" s="5" t="str">
        <x:v>OP00019</x:v>
      </x:c>
      <x:c r="B20" s="5" t="str">
        <x:v>2026-02-06 00:00:00</x:v>
      </x:c>
      <x:c r="C20" s="5" t="str">
        <x:v>S003</x:v>
      </x:c>
      <x:c r="D20" s="5" t="str">
        <x:v>A008</x:v>
      </x:c>
      <x:c r="E20" s="5" t="str">
        <x:v>NIGHT</x:v>
      </x:c>
      <x:c r="F20" s="9" t="n">
        <x:v>660.52</x:v>
      </x:c>
      <x:c r="G20" s="9" t="n">
        <x:v>910859.12</x:v>
      </x:c>
      <x:c r="H20" s="9" t="n">
        <x:v>0.427</x:v>
      </x:c>
      <x:c r="I20" s="9" t="n">
        <x:v>96.96</x:v>
      </x:c>
      <x:c r="J20" s="9" t="n">
        <x:v>0.23</x:v>
      </x:c>
      <x:c r="K20" s="5" t="str">
        <x:v>NONE</x:v>
      </x:c>
      <x:c r="L20" s="10" t="n">
        <x:v>0</x:v>
      </x:c>
      <x:c r="M20" s="5" t="n">
        <x:v>0</x:v>
      </x:c>
      <x:c r="N20" s="5" t="str">
        <x:v>NORMAL</x:v>
      </x:c>
      <x:c r="O20" s="11" t="str">
        <x:f>LEFT(B20,7)</x:f>
        <x:v>2026-02</x:v>
      </x:c>
    </x:row>
    <x:row r="21">
      <x:c r="A21" s="5" t="str">
        <x:v>OP00020</x:v>
      </x:c>
      <x:c r="B21" s="5" t="str">
        <x:v>2026-02-08 04:00:00</x:v>
      </x:c>
      <x:c r="C21" s="5" t="str">
        <x:v>S004</x:v>
      </x:c>
      <x:c r="D21" s="5" t="str">
        <x:v>A011</x:v>
      </x:c>
      <x:c r="E21" s="5" t="str">
        <x:v>NIGHT</x:v>
      </x:c>
      <x:c r="F21" s="9" t="n">
        <x:v>255.68</x:v>
      </x:c>
      <x:c r="G21" s="9" t="n">
        <x:v>355682.48</x:v>
      </x:c>
      <x:c r="H21" s="9" t="n">
        <x:v>0.123</x:v>
      </x:c>
      <x:c r="I21" s="9" t="n">
        <x:v>96.21</x:v>
      </x:c>
      <x:c r="J21" s="9" t="n">
        <x:v>0.12</x:v>
      </x:c>
      <x:c r="K21" s="5" t="str">
        <x:v>NONE</x:v>
      </x:c>
      <x:c r="L21" s="10" t="n">
        <x:v>0</x:v>
      </x:c>
      <x:c r="M21" s="5" t="n">
        <x:v>0</x:v>
      </x:c>
      <x:c r="N21" s="5" t="str">
        <x:v>NORMAL</x:v>
      </x:c>
      <x:c r="O21" s="11" t="str">
        <x:f>LEFT(B21,7)</x:f>
        <x:v>2026-02</x:v>
      </x:c>
    </x:row>
    <x:row r="22">
      <x:c r="A22" s="5" t="str">
        <x:v>OP00021</x:v>
      </x:c>
      <x:c r="B22" s="5" t="str">
        <x:v>2026-02-10 08:00:00</x:v>
      </x:c>
      <x:c r="C22" s="5" t="str">
        <x:v>S001</x:v>
      </x:c>
      <x:c r="D22" s="5" t="str">
        <x:v>A003</x:v>
      </x:c>
      <x:c r="E22" s="5" t="str">
        <x:v>DAY</x:v>
      </x:c>
      <x:c r="F22" s="9" t="n">
        <x:v>420.35</x:v>
      </x:c>
      <x:c r="G22" s="9" t="n">
        <x:v>547655.25</x:v>
      </x:c>
      <x:c r="H22" s="9" t="n">
        <x:v>0.699</x:v>
      </x:c>
      <x:c r="I22" s="9" t="n">
        <x:v>98.12</x:v>
      </x:c>
      <x:c r="J22" s="9" t="n">
        <x:v>0.07</x:v>
      </x:c>
      <x:c r="K22" s="5" t="str">
        <x:v>NONE</x:v>
      </x:c>
      <x:c r="L22" s="10" t="n">
        <x:v>0</x:v>
      </x:c>
      <x:c r="M22" s="5" t="n">
        <x:v>0</x:v>
      </x:c>
      <x:c r="N22" s="5" t="str">
        <x:v>NORMAL</x:v>
      </x:c>
      <x:c r="O22" s="11" t="str">
        <x:f>LEFT(B22,7)</x:f>
        <x:v>2026-02</x:v>
      </x:c>
    </x:row>
    <x:row r="23">
      <x:c r="A23" s="5" t="str">
        <x:v>OP00022</x:v>
      </x:c>
      <x:c r="B23" s="5" t="str">
        <x:v>2026-02-12 12:00:00</x:v>
      </x:c>
      <x:c r="C23" s="5" t="str">
        <x:v>S002</x:v>
      </x:c>
      <x:c r="D23" s="5" t="str">
        <x:v>A006</x:v>
      </x:c>
      <x:c r="E23" s="5" t="str">
        <x:v>DAY</x:v>
      </x:c>
      <x:c r="F23" s="9" t="n">
        <x:v>82.74</x:v>
      </x:c>
      <x:c r="G23" s="9" t="n">
        <x:v>111914.5</x:v>
      </x:c>
      <x:c r="H23" s="9" t="n">
        <x:v>0.657</x:v>
      </x:c>
      <x:c r="I23" s="9" t="n">
        <x:v>97.15</x:v>
      </x:c>
      <x:c r="J23" s="9" t="n">
        <x:v>0.64</x:v>
      </x:c>
      <x:c r="K23" s="5" t="str">
        <x:v>PREVENTIVE</x:v>
      </x:c>
      <x:c r="L23" s="10" t="n">
        <x:v>4309</x:v>
      </x:c>
      <x:c r="M23" s="5" t="n">
        <x:v>0</x:v>
      </x:c>
      <x:c r="N23" s="5" t="str">
        <x:v>NORMAL</x:v>
      </x:c>
      <x:c r="O23" s="11" t="str">
        <x:f>LEFT(B23,7)</x:f>
        <x:v>2026-02</x:v>
      </x:c>
    </x:row>
    <x:row r="24">
      <x:c r="A24" s="5" t="str">
        <x:v>OP00023</x:v>
      </x:c>
      <x:c r="B24" s="5" t="str">
        <x:v>2026-02-14 16:00:00</x:v>
      </x:c>
      <x:c r="C24" s="5" t="str">
        <x:v>S003</x:v>
      </x:c>
      <x:c r="D24" s="5" t="str">
        <x:v>A009</x:v>
      </x:c>
      <x:c r="E24" s="5" t="str">
        <x:v>DAY</x:v>
      </x:c>
      <x:c r="F24" s="9" t="n">
        <x:v>514.26</x:v>
      </x:c>
      <x:c r="G24" s="9" t="n">
        <x:v>645001.72</x:v>
      </x:c>
      <x:c r="H24" s="9" t="n">
        <x:v>0.245</x:v>
      </x:c>
      <x:c r="I24" s="9" t="n">
        <x:v>96.6</x:v>
      </x:c>
      <x:c r="J24" s="9" t="n">
        <x:v>1.19</x:v>
      </x:c>
      <x:c r="K24" s="5" t="str">
        <x:v>INSPECTION</x:v>
      </x:c>
      <x:c r="L24" s="10" t="n">
        <x:v>1911.93</x:v>
      </x:c>
      <x:c r="M24" s="5" t="n">
        <x:v>0</x:v>
      </x:c>
      <x:c r="N24" s="5" t="str">
        <x:v>NORMAL</x:v>
      </x:c>
      <x:c r="O24" s="11" t="str">
        <x:f>LEFT(B24,7)</x:f>
        <x:v>2026-02</x:v>
      </x:c>
    </x:row>
    <x:row r="25">
      <x:c r="A25" s="5" t="str">
        <x:v>OP00024</x:v>
      </x:c>
      <x:c r="B25" s="5" t="str">
        <x:v>2026-02-16 20:00:00</x:v>
      </x:c>
      <x:c r="C25" s="5" t="str">
        <x:v>S004</x:v>
      </x:c>
      <x:c r="D25" s="5" t="str">
        <x:v>A012</x:v>
      </x:c>
      <x:c r="E25" s="5" t="str">
        <x:v>NIGHT</x:v>
      </x:c>
      <x:c r="F25" s="9" t="n">
        <x:v>275.7</x:v>
      </x:c>
      <x:c r="G25" s="9" t="n">
        <x:v>359717.84</x:v>
      </x:c>
      <x:c r="H25" s="9" t="n">
        <x:v>0.249</x:v>
      </x:c>
      <x:c r="I25" s="9" t="n">
        <x:v>95.62</x:v>
      </x:c>
      <x:c r="J25" s="9" t="n">
        <x:v>0.15</x:v>
      </x:c>
      <x:c r="K25" s="5" t="str">
        <x:v>NONE</x:v>
      </x:c>
      <x:c r="L25" s="10" t="n">
        <x:v>0</x:v>
      </x:c>
      <x:c r="M25" s="5" t="n">
        <x:v>0</x:v>
      </x:c>
      <x:c r="N25" s="5" t="str">
        <x:v>NORMAL</x:v>
      </x:c>
      <x:c r="O25" s="11" t="str">
        <x:f>LEFT(B25,7)</x:f>
        <x:v>2026-02</x:v>
      </x:c>
    </x:row>
    <x:row r="26">
      <x:c r="A26" s="5" t="str">
        <x:v>OP00025</x:v>
      </x:c>
      <x:c r="B26" s="5" t="str">
        <x:v>2026-02-18 00:00:00</x:v>
      </x:c>
      <x:c r="C26" s="5" t="str">
        <x:v>S001</x:v>
      </x:c>
      <x:c r="D26" s="5" t="str">
        <x:v>A001</x:v>
      </x:c>
      <x:c r="E26" s="5" t="str">
        <x:v>NIGHT</x:v>
      </x:c>
      <x:c r="F26" s="9" t="n">
        <x:v>375.99</x:v>
      </x:c>
      <x:c r="G26" s="9" t="n">
        <x:v>501152.55</x:v>
      </x:c>
      <x:c r="H26" s="9" t="n">
        <x:v>0.48</x:v>
      </x:c>
      <x:c r="I26" s="9" t="n">
        <x:v>98.68</x:v>
      </x:c>
      <x:c r="J26" s="9" t="n">
        <x:v>0.04</x:v>
      </x:c>
      <x:c r="K26" s="5" t="str">
        <x:v>NONE</x:v>
      </x:c>
      <x:c r="L26" s="10" t="n">
        <x:v>0</x:v>
      </x:c>
      <x:c r="M26" s="5" t="n">
        <x:v>0</x:v>
      </x:c>
      <x:c r="N26" s="5" t="str">
        <x:v>NORMAL</x:v>
      </x:c>
      <x:c r="O26" s="11" t="str">
        <x:f>LEFT(B26,7)</x:f>
        <x:v>2026-02</x:v>
      </x:c>
    </x:row>
    <x:row r="27">
      <x:c r="A27" s="5" t="str">
        <x:v>OP00026</x:v>
      </x:c>
      <x:c r="B27" s="5" t="str">
        <x:v>2026-02-20 04:00:00</x:v>
      </x:c>
      <x:c r="C27" s="5" t="str">
        <x:v>S002</x:v>
      </x:c>
      <x:c r="D27" s="5" t="str">
        <x:v>A004</x:v>
      </x:c>
      <x:c r="E27" s="5" t="str">
        <x:v>NIGHT</x:v>
      </x:c>
      <x:c r="F27" s="9" t="n">
        <x:v>85.05</x:v>
      </x:c>
      <x:c r="G27" s="9" t="n">
        <x:v>110457.02</x:v>
      </x:c>
      <x:c r="H27" s="9" t="n">
        <x:v>0.303</x:v>
      </x:c>
      <x:c r="I27" s="9" t="n">
        <x:v>97.89</x:v>
      </x:c>
      <x:c r="J27" s="9" t="n">
        <x:v>0.22</x:v>
      </x:c>
      <x:c r="K27" s="5" t="str">
        <x:v>NONE</x:v>
      </x:c>
      <x:c r="L27" s="10" t="n">
        <x:v>0</x:v>
      </x:c>
      <x:c r="M27" s="5" t="n">
        <x:v>0</x:v>
      </x:c>
      <x:c r="N27" s="5" t="str">
        <x:v>NORMAL</x:v>
      </x:c>
      <x:c r="O27" s="11" t="str">
        <x:f>LEFT(B27,7)</x:f>
        <x:v>2026-02</x:v>
      </x:c>
    </x:row>
    <x:row r="28">
      <x:c r="A28" s="5" t="str">
        <x:v>OP00027</x:v>
      </x:c>
      <x:c r="B28" s="5" t="str">
        <x:v>2026-02-22 08:00:00</x:v>
      </x:c>
      <x:c r="C28" s="5" t="str">
        <x:v>S003</x:v>
      </x:c>
      <x:c r="D28" s="5" t="str">
        <x:v>A007</x:v>
      </x:c>
      <x:c r="E28" s="5" t="str">
        <x:v>DAY</x:v>
      </x:c>
      <x:c r="F28" s="9" t="n">
        <x:v>663.1</x:v>
      </x:c>
      <x:c r="G28" s="9" t="n">
        <x:v>834024.35</x:v>
      </x:c>
      <x:c r="H28" s="9" t="n">
        <x:v>0.695</x:v>
      </x:c>
      <x:c r="I28" s="9" t="n">
        <x:v>96.67</x:v>
      </x:c>
      <x:c r="J28" s="9" t="n">
        <x:v>0.01</x:v>
      </x:c>
      <x:c r="K28" s="5" t="str">
        <x:v>NONE</x:v>
      </x:c>
      <x:c r="L28" s="10" t="n">
        <x:v>0</x:v>
      </x:c>
      <x:c r="M28" s="5" t="n">
        <x:v>0</x:v>
      </x:c>
      <x:c r="N28" s="5" t="str">
        <x:v>NORMAL</x:v>
      </x:c>
      <x:c r="O28" s="11" t="str">
        <x:f>LEFT(B28,7)</x:f>
        <x:v>2026-02</x:v>
      </x:c>
    </x:row>
    <x:row r="29">
      <x:c r="A29" s="5" t="str">
        <x:v>OP00028</x:v>
      </x:c>
      <x:c r="B29" s="5" t="str">
        <x:v>2026-02-24 12:00:00</x:v>
      </x:c>
      <x:c r="C29" s="5" t="str">
        <x:v>S004</x:v>
      </x:c>
      <x:c r="D29" s="5" t="str">
        <x:v>A010</x:v>
      </x:c>
      <x:c r="E29" s="5" t="str">
        <x:v>DAY</x:v>
      </x:c>
      <x:c r="F29" s="9" t="n">
        <x:v>272.65</x:v>
      </x:c>
      <x:c r="G29" s="9" t="n">
        <x:v>382553.3</x:v>
      </x:c>
      <x:c r="H29" s="9" t="n">
        <x:v>0.303</x:v>
      </x:c>
      <x:c r="I29" s="9" t="n">
        <x:v>97.04</x:v>
      </x:c>
      <x:c r="J29" s="9" t="n">
        <x:v>0.03</x:v>
      </x:c>
      <x:c r="K29" s="5" t="str">
        <x:v>NONE</x:v>
      </x:c>
      <x:c r="L29" s="10" t="n">
        <x:v>0</x:v>
      </x:c>
      <x:c r="M29" s="5" t="n">
        <x:v>0</x:v>
      </x:c>
      <x:c r="N29" s="5" t="str">
        <x:v>NORMAL</x:v>
      </x:c>
      <x:c r="O29" s="11" t="str">
        <x:f>LEFT(B29,7)</x:f>
        <x:v>2026-02</x:v>
      </x:c>
    </x:row>
    <x:row r="30">
      <x:c r="A30" s="5" t="str">
        <x:v>OP00029</x:v>
      </x:c>
      <x:c r="B30" s="5" t="str">
        <x:v>2026-02-26 16:00:00</x:v>
      </x:c>
      <x:c r="C30" s="5" t="str">
        <x:v>S001</x:v>
      </x:c>
      <x:c r="D30" s="5" t="str">
        <x:v>A002</x:v>
      </x:c>
      <x:c r="E30" s="5" t="str">
        <x:v>DAY</x:v>
      </x:c>
      <x:c r="F30" s="9" t="n">
        <x:v>404.13</x:v>
      </x:c>
      <x:c r="G30" s="9" t="n">
        <x:v>517683.46</x:v>
      </x:c>
      <x:c r="H30" s="9" t="n">
        <x:v>0.478</x:v>
      </x:c>
      <x:c r="I30" s="9" t="n">
        <x:v>97.72</x:v>
      </x:c>
      <x:c r="J30" s="9" t="n">
        <x:v>0.82</x:v>
      </x:c>
      <x:c r="K30" s="5" t="str">
        <x:v>PREVENTIVE</x:v>
      </x:c>
      <x:c r="L30" s="10" t="n">
        <x:v>7123.41</x:v>
      </x:c>
      <x:c r="M30" s="5" t="n">
        <x:v>0</x:v>
      </x:c>
      <x:c r="N30" s="5" t="str">
        <x:v>NORMAL</x:v>
      </x:c>
      <x:c r="O30" s="11" t="str">
        <x:f>LEFT(B30,7)</x:f>
        <x:v>2026-02</x:v>
      </x:c>
    </x:row>
    <x:row r="31">
      <x:c r="A31" s="5" t="str">
        <x:v>OP00030</x:v>
      </x:c>
      <x:c r="B31" s="5" t="str">
        <x:v>2026-02-28 20:00:00</x:v>
      </x:c>
      <x:c r="C31" s="5" t="str">
        <x:v>S002</x:v>
      </x:c>
      <x:c r="D31" s="5" t="str">
        <x:v>A005</x:v>
      </x:c>
      <x:c r="E31" s="5" t="str">
        <x:v>NIGHT</x:v>
      </x:c>
      <x:c r="F31" s="9" t="n">
        <x:v>95.06</x:v>
      </x:c>
      <x:c r="G31" s="9" t="n">
        <x:v>129808.54</x:v>
      </x:c>
      <x:c r="H31" s="9" t="n">
        <x:v>0.511</x:v>
      </x:c>
      <x:c r="I31" s="9" t="n">
        <x:v>96.05</x:v>
      </x:c>
      <x:c r="J31" s="9" t="n">
        <x:v>3.65</x:v>
      </x:c>
      <x:c r="K31" s="5" t="str">
        <x:v>CORRECTIVE</x:v>
      </x:c>
      <x:c r="L31" s="10" t="n">
        <x:v>41766.81</x:v>
      </x:c>
      <x:c r="M31" s="5" t="n">
        <x:v>0</x:v>
      </x:c>
      <x:c r="N31" s="5" t="str">
        <x:v>WATCH</x:v>
      </x:c>
      <x:c r="O31" s="11" t="str">
        <x:f>LEFT(B31,7)</x:f>
        <x:v>2026-02</x:v>
      </x:c>
    </x:row>
    <x:row r="32">
      <x:c r="A32" s="5" t="str">
        <x:v>OP00031</x:v>
      </x:c>
      <x:c r="B32" s="5" t="str">
        <x:v>2026-03-02 00:00:00</x:v>
      </x:c>
      <x:c r="C32" s="5" t="str">
        <x:v>S003</x:v>
      </x:c>
      <x:c r="D32" s="5" t="str">
        <x:v>A008</x:v>
      </x:c>
      <x:c r="E32" s="5" t="str">
        <x:v>NIGHT</x:v>
      </x:c>
      <x:c r="F32" s="9" t="n">
        <x:v>543.22</x:v>
      </x:c>
      <x:c r="G32" s="9" t="n">
        <x:v>740346.58</x:v>
      </x:c>
      <x:c r="H32" s="9" t="n">
        <x:v>0.439</x:v>
      </x:c>
      <x:c r="I32" s="9" t="n">
        <x:v>97.96</x:v>
      </x:c>
      <x:c r="J32" s="9" t="n">
        <x:v>0.16</x:v>
      </x:c>
      <x:c r="K32" s="5" t="str">
        <x:v>NONE</x:v>
      </x:c>
      <x:c r="L32" s="10" t="n">
        <x:v>0</x:v>
      </x:c>
      <x:c r="M32" s="5" t="n">
        <x:v>0</x:v>
      </x:c>
      <x:c r="N32" s="5" t="str">
        <x:v>NORMAL</x:v>
      </x:c>
      <x:c r="O32" s="11" t="str">
        <x:f>LEFT(B32,7)</x:f>
        <x:v>2026-03</x:v>
      </x:c>
    </x:row>
    <x:row r="33">
      <x:c r="A33" s="5" t="str">
        <x:v>OP00032</x:v>
      </x:c>
      <x:c r="B33" s="5" t="str">
        <x:v>2026-03-04 04:00:00</x:v>
      </x:c>
      <x:c r="C33" s="5" t="str">
        <x:v>S004</x:v>
      </x:c>
      <x:c r="D33" s="5" t="str">
        <x:v>A011</x:v>
      </x:c>
      <x:c r="E33" s="5" t="str">
        <x:v>NIGHT</x:v>
      </x:c>
      <x:c r="F33" s="9" t="n">
        <x:v>242.78</x:v>
      </x:c>
      <x:c r="G33" s="9" t="n">
        <x:v>333618.71</x:v>
      </x:c>
      <x:c r="H33" s="9" t="n">
        <x:v>0.456</x:v>
      </x:c>
      <x:c r="I33" s="9" t="n">
        <x:v>96.34</x:v>
      </x:c>
      <x:c r="J33" s="9" t="n">
        <x:v>0.13</x:v>
      </x:c>
      <x:c r="K33" s="5" t="str">
        <x:v>NONE</x:v>
      </x:c>
      <x:c r="L33" s="10" t="n">
        <x:v>0</x:v>
      </x:c>
      <x:c r="M33" s="5" t="n">
        <x:v>0</x:v>
      </x:c>
      <x:c r="N33" s="5" t="str">
        <x:v>NORMAL</x:v>
      </x:c>
      <x:c r="O33" s="11" t="str">
        <x:f>LEFT(B33,7)</x:f>
        <x:v>2026-03</x:v>
      </x:c>
    </x:row>
    <x:row r="34">
      <x:c r="A34" s="5" t="str">
        <x:v>OP00033</x:v>
      </x:c>
      <x:c r="B34" s="5" t="str">
        <x:v>2026-03-06 08:00:00</x:v>
      </x:c>
      <x:c r="C34" s="5" t="str">
        <x:v>S001</x:v>
      </x:c>
      <x:c r="D34" s="5" t="str">
        <x:v>A003</x:v>
      </x:c>
      <x:c r="E34" s="5" t="str">
        <x:v>DAY</x:v>
      </x:c>
      <x:c r="F34" s="9" t="n">
        <x:v>440.09</x:v>
      </x:c>
      <x:c r="G34" s="9" t="n">
        <x:v>582663.74</x:v>
      </x:c>
      <x:c r="H34" s="9" t="n">
        <x:v>0.236</x:v>
      </x:c>
      <x:c r="I34" s="9" t="n">
        <x:v>96.49</x:v>
      </x:c>
      <x:c r="J34" s="9" t="n">
        <x:v>0.21</x:v>
      </x:c>
      <x:c r="K34" s="5" t="str">
        <x:v>NONE</x:v>
      </x:c>
      <x:c r="L34" s="10" t="n">
        <x:v>0</x:v>
      </x:c>
      <x:c r="M34" s="5" t="n">
        <x:v>0</x:v>
      </x:c>
      <x:c r="N34" s="5" t="str">
        <x:v>NORMAL</x:v>
      </x:c>
      <x:c r="O34" s="11" t="str">
        <x:f>LEFT(B34,7)</x:f>
        <x:v>2026-03</x:v>
      </x:c>
    </x:row>
    <x:row r="35">
      <x:c r="A35" s="5" t="str">
        <x:v>OP00034</x:v>
      </x:c>
      <x:c r="B35" s="5" t="str">
        <x:v>2026-03-08 12:00:00</x:v>
      </x:c>
      <x:c r="C35" s="5" t="str">
        <x:v>S002</x:v>
      </x:c>
      <x:c r="D35" s="5" t="str">
        <x:v>A006</x:v>
      </x:c>
      <x:c r="E35" s="5" t="str">
        <x:v>DAY</x:v>
      </x:c>
      <x:c r="F35" s="9" t="n">
        <x:v>106.73</x:v>
      </x:c>
      <x:c r="G35" s="9" t="n">
        <x:v>137172.19</x:v>
      </x:c>
      <x:c r="H35" s="9" t="n">
        <x:v>0.547</x:v>
      </x:c>
      <x:c r="I35" s="9" t="n">
        <x:v>98.67</x:v>
      </x:c>
      <x:c r="J35" s="9" t="n">
        <x:v>0.74</x:v>
      </x:c>
      <x:c r="K35" s="5" t="str">
        <x:v>INSPECTION</x:v>
      </x:c>
      <x:c r="L35" s="10" t="n">
        <x:v>1691.87</x:v>
      </x:c>
      <x:c r="M35" s="5" t="n">
        <x:v>0</x:v>
      </x:c>
      <x:c r="N35" s="5" t="str">
        <x:v>NORMAL</x:v>
      </x:c>
      <x:c r="O35" s="11" t="str">
        <x:f>LEFT(B35,7)</x:f>
        <x:v>2026-03</x:v>
      </x:c>
    </x:row>
    <x:row r="36">
      <x:c r="A36" s="5" t="str">
        <x:v>OP00035</x:v>
      </x:c>
      <x:c r="B36" s="5" t="str">
        <x:v>2026-03-10 16:00:00</x:v>
      </x:c>
      <x:c r="C36" s="5" t="str">
        <x:v>S003</x:v>
      </x:c>
      <x:c r="D36" s="5" t="str">
        <x:v>A009</x:v>
      </x:c>
      <x:c r="E36" s="5" t="str">
        <x:v>DAY</x:v>
      </x:c>
      <x:c r="F36" s="9" t="n">
        <x:v>547.21</x:v>
      </x:c>
      <x:c r="G36" s="9" t="n">
        <x:v>719108.95</x:v>
      </x:c>
      <x:c r="H36" s="9" t="n">
        <x:v>0.161</x:v>
      </x:c>
      <x:c r="I36" s="9" t="n">
        <x:v>96.51</x:v>
      </x:c>
      <x:c r="J36" s="9" t="n">
        <x:v>0.17</x:v>
      </x:c>
      <x:c r="K36" s="5" t="str">
        <x:v>NONE</x:v>
      </x:c>
      <x:c r="L36" s="10" t="n">
        <x:v>0</x:v>
      </x:c>
      <x:c r="M36" s="5" t="n">
        <x:v>0</x:v>
      </x:c>
      <x:c r="N36" s="5" t="str">
        <x:v>NORMAL</x:v>
      </x:c>
      <x:c r="O36" s="11" t="str">
        <x:f>LEFT(B36,7)</x:f>
        <x:v>2026-03</x:v>
      </x:c>
    </x:row>
    <x:row r="37">
      <x:c r="A37" s="5" t="str">
        <x:v>OP00036</x:v>
      </x:c>
      <x:c r="B37" s="5" t="str">
        <x:v>2026-03-12 20:00:00</x:v>
      </x:c>
      <x:c r="C37" s="5" t="str">
        <x:v>S004</x:v>
      </x:c>
      <x:c r="D37" s="5" t="str">
        <x:v>A012</x:v>
      </x:c>
      <x:c r="E37" s="5" t="str">
        <x:v>NIGHT</x:v>
      </x:c>
      <x:c r="F37" s="9" t="n">
        <x:v>215.11</x:v>
      </x:c>
      <x:c r="G37" s="9" t="n">
        <x:v>295225.17</x:v>
      </x:c>
      <x:c r="H37" s="9" t="n">
        <x:v>0.33</x:v>
      </x:c>
      <x:c r="I37" s="9" t="n">
        <x:v>96.11</x:v>
      </x:c>
      <x:c r="J37" s="9" t="n">
        <x:v>2.11</x:v>
      </x:c>
      <x:c r="K37" s="5" t="str">
        <x:v>PREVENTIVE</x:v>
      </x:c>
      <x:c r="L37" s="10" t="n">
        <x:v>5632.5</x:v>
      </x:c>
      <x:c r="M37" s="5" t="n">
        <x:v>0</x:v>
      </x:c>
      <x:c r="N37" s="5" t="str">
        <x:v>WATCH</x:v>
      </x:c>
      <x:c r="O37" s="11" t="str">
        <x:f>LEFT(B37,7)</x:f>
        <x:v>2026-03</x:v>
      </x:c>
    </x:row>
    <x:row r="38">
      <x:c r="A38" s="5" t="str">
        <x:v>OP00037</x:v>
      </x:c>
      <x:c r="B38" s="5" t="str">
        <x:v>2026-03-14 00:00:00</x:v>
      </x:c>
      <x:c r="C38" s="5" t="str">
        <x:v>S001</x:v>
      </x:c>
      <x:c r="D38" s="5" t="str">
        <x:v>A001</x:v>
      </x:c>
      <x:c r="E38" s="5" t="str">
        <x:v>NIGHT</x:v>
      </x:c>
      <x:c r="F38" s="9" t="n">
        <x:v>383.94</x:v>
      </x:c>
      <x:c r="G38" s="9" t="n">
        <x:v>481896.87</x:v>
      </x:c>
      <x:c r="H38" s="9" t="n">
        <x:v>0.131</x:v>
      </x:c>
      <x:c r="I38" s="9" t="n">
        <x:v>97.74</x:v>
      </x:c>
      <x:c r="J38" s="9" t="n">
        <x:v>0.05</x:v>
      </x:c>
      <x:c r="K38" s="5" t="str">
        <x:v>NONE</x:v>
      </x:c>
      <x:c r="L38" s="10" t="n">
        <x:v>0</x:v>
      </x:c>
      <x:c r="M38" s="5" t="n">
        <x:v>0</x:v>
      </x:c>
      <x:c r="N38" s="5" t="str">
        <x:v>NORMAL</x:v>
      </x:c>
      <x:c r="O38" s="11" t="str">
        <x:f>LEFT(B38,7)</x:f>
        <x:v>2026-03</x:v>
      </x:c>
    </x:row>
    <x:row r="39">
      <x:c r="A39" s="5" t="str">
        <x:v>OP00038</x:v>
      </x:c>
      <x:c r="B39" s="5" t="str">
        <x:v>2026-03-16 04:00:00</x:v>
      </x:c>
      <x:c r="C39" s="5" t="str">
        <x:v>S002</x:v>
      </x:c>
      <x:c r="D39" s="5" t="str">
        <x:v>A004</x:v>
      </x:c>
      <x:c r="E39" s="5" t="str">
        <x:v>NIGHT</x:v>
      </x:c>
      <x:c r="F39" s="9" t="n">
        <x:v>105.7</x:v>
      </x:c>
      <x:c r="G39" s="9" t="n">
        <x:v>143277.6</x:v>
      </x:c>
      <x:c r="H39" s="9" t="n">
        <x:v>0.455</x:v>
      </x:c>
      <x:c r="I39" s="9" t="n">
        <x:v>97.72</x:v>
      </x:c>
      <x:c r="J39" s="9" t="n">
        <x:v>0.03</x:v>
      </x:c>
      <x:c r="K39" s="5" t="str">
        <x:v>NONE</x:v>
      </x:c>
      <x:c r="L39" s="10" t="n">
        <x:v>0</x:v>
      </x:c>
      <x:c r="M39" s="5" t="n">
        <x:v>0</x:v>
      </x:c>
      <x:c r="N39" s="5" t="str">
        <x:v>NORMAL</x:v>
      </x:c>
      <x:c r="O39" s="11" t="str">
        <x:f>LEFT(B39,7)</x:f>
        <x:v>2026-03</x:v>
      </x:c>
    </x:row>
    <x:row r="40">
      <x:c r="A40" s="5" t="str">
        <x:v>OP00039</x:v>
      </x:c>
      <x:c r="B40" s="5" t="str">
        <x:v>2026-03-18 08:00:00</x:v>
      </x:c>
      <x:c r="C40" s="5" t="str">
        <x:v>S003</x:v>
      </x:c>
      <x:c r="D40" s="5" t="str">
        <x:v>A007</x:v>
      </x:c>
      <x:c r="E40" s="5" t="str">
        <x:v>DAY</x:v>
      </x:c>
      <x:c r="F40" s="9" t="n">
        <x:v>584.83</x:v>
      </x:c>
      <x:c r="G40" s="9" t="n">
        <x:v>731248.45</x:v>
      </x:c>
      <x:c r="H40" s="9" t="n">
        <x:v>0.173</x:v>
      </x:c>
      <x:c r="I40" s="9" t="n">
        <x:v>96.73</x:v>
      </x:c>
      <x:c r="J40" s="9" t="n">
        <x:v>0.14</x:v>
      </x:c>
      <x:c r="K40" s="5" t="str">
        <x:v>NONE</x:v>
      </x:c>
      <x:c r="L40" s="10" t="n">
        <x:v>0</x:v>
      </x:c>
      <x:c r="M40" s="5" t="n">
        <x:v>0</x:v>
      </x:c>
      <x:c r="N40" s="5" t="str">
        <x:v>NORMAL</x:v>
      </x:c>
      <x:c r="O40" s="11" t="str">
        <x:f>LEFT(B40,7)</x:f>
        <x:v>2026-03</x:v>
      </x:c>
    </x:row>
    <x:row r="41">
      <x:c r="A41" s="5" t="str">
        <x:v>OP00040</x:v>
      </x:c>
      <x:c r="B41" s="5" t="str">
        <x:v>2026-03-20 12:00:00</x:v>
      </x:c>
      <x:c r="C41" s="5" t="str">
        <x:v>S004</x:v>
      </x:c>
      <x:c r="D41" s="5" t="str">
        <x:v>A010</x:v>
      </x:c>
      <x:c r="E41" s="5" t="str">
        <x:v>DAY</x:v>
      </x:c>
      <x:c r="F41" s="9" t="n">
        <x:v>241.68</x:v>
      </x:c>
      <x:c r="G41" s="9" t="n">
        <x:v>331399.58</x:v>
      </x:c>
      <x:c r="H41" s="9" t="n">
        <x:v>0.134</x:v>
      </x:c>
      <x:c r="I41" s="9" t="n">
        <x:v>97.07</x:v>
      </x:c>
      <x:c r="J41" s="9" t="n">
        <x:v>0.12</x:v>
      </x:c>
      <x:c r="K41" s="5" t="str">
        <x:v>NONE</x:v>
      </x:c>
      <x:c r="L41" s="10" t="n">
        <x:v>0</x:v>
      </x:c>
      <x:c r="M41" s="5" t="n">
        <x:v>0</x:v>
      </x:c>
      <x:c r="N41" s="5" t="str">
        <x:v>NORMAL</x:v>
      </x:c>
      <x:c r="O41" s="11" t="str">
        <x:f>LEFT(B41,7)</x:f>
        <x:v>2026-03</x:v>
      </x:c>
    </x:row>
    <x:row r="42">
      <x:c r="A42" s="5" t="str">
        <x:v>OP00041</x:v>
      </x:c>
      <x:c r="B42" s="5" t="str">
        <x:v>2026-03-22 16:00:00</x:v>
      </x:c>
      <x:c r="C42" s="5" t="str">
        <x:v>S001</x:v>
      </x:c>
      <x:c r="D42" s="5" t="str">
        <x:v>A002</x:v>
      </x:c>
      <x:c r="E42" s="5" t="str">
        <x:v>DAY</x:v>
      </x:c>
      <x:c r="F42" s="9" t="n">
        <x:v>361.52</x:v>
      </x:c>
      <x:c r="G42" s="9" t="n">
        <x:v>461260.81</x:v>
      </x:c>
      <x:c r="H42" s="9" t="n">
        <x:v>0.243</x:v>
      </x:c>
      <x:c r="I42" s="9" t="n">
        <x:v>96.66</x:v>
      </x:c>
      <x:c r="J42" s="9" t="n">
        <x:v>0.07</x:v>
      </x:c>
      <x:c r="K42" s="5" t="str">
        <x:v>NONE</x:v>
      </x:c>
      <x:c r="L42" s="10" t="n">
        <x:v>0</x:v>
      </x:c>
      <x:c r="M42" s="5" t="n">
        <x:v>0</x:v>
      </x:c>
      <x:c r="N42" s="5" t="str">
        <x:v>NORMAL</x:v>
      </x:c>
      <x:c r="O42" s="11" t="str">
        <x:f>LEFT(B42,7)</x:f>
        <x:v>2026-03</x:v>
      </x:c>
    </x:row>
    <x:row r="43">
      <x:c r="A43" s="5" t="str">
        <x:v>OP00042</x:v>
      </x:c>
      <x:c r="B43" s="5" t="str">
        <x:v>2026-03-24 20:00:00</x:v>
      </x:c>
      <x:c r="C43" s="5" t="str">
        <x:v>S002</x:v>
      </x:c>
      <x:c r="D43" s="5" t="str">
        <x:v>A005</x:v>
      </x:c>
      <x:c r="E43" s="5" t="str">
        <x:v>NIGHT</x:v>
      </x:c>
      <x:c r="F43" s="9" t="n">
        <x:v>113.09</x:v>
      </x:c>
      <x:c r="G43" s="9" t="n">
        <x:v>149074.87</x:v>
      </x:c>
      <x:c r="H43" s="9" t="n">
        <x:v>0.169</x:v>
      </x:c>
      <x:c r="I43" s="9" t="n">
        <x:v>96.46</x:v>
      </x:c>
      <x:c r="J43" s="9" t="n">
        <x:v>0.11</x:v>
      </x:c>
      <x:c r="K43" s="5" t="str">
        <x:v>NONE</x:v>
      </x:c>
      <x:c r="L43" s="10" t="n">
        <x:v>0</x:v>
      </x:c>
      <x:c r="M43" s="5" t="n">
        <x:v>0</x:v>
      </x:c>
      <x:c r="N43" s="5" t="str">
        <x:v>NORMAL</x:v>
      </x:c>
      <x:c r="O43" s="11" t="str">
        <x:f>LEFT(B43,7)</x:f>
        <x:v>2026-03</x:v>
      </x:c>
    </x:row>
    <x:row r="44">
      <x:c r="A44" s="5" t="str">
        <x:v>OP00043</x:v>
      </x:c>
      <x:c r="B44" s="5" t="str">
        <x:v>2026-03-26 00:00:00</x:v>
      </x:c>
      <x:c r="C44" s="5" t="str">
        <x:v>S003</x:v>
      </x:c>
      <x:c r="D44" s="5" t="str">
        <x:v>A008</x:v>
      </x:c>
      <x:c r="E44" s="5" t="str">
        <x:v>NIGHT</x:v>
      </x:c>
      <x:c r="F44" s="9" t="n">
        <x:v>610.46</x:v>
      </x:c>
      <x:c r="G44" s="9" t="n">
        <x:v>823778.07</x:v>
      </x:c>
      <x:c r="H44" s="9" t="n">
        <x:v>0.397</x:v>
      </x:c>
      <x:c r="I44" s="9" t="n">
        <x:v>96.26</x:v>
      </x:c>
      <x:c r="J44" s="9" t="n">
        <x:v>1.03</x:v>
      </x:c>
      <x:c r="K44" s="5" t="str">
        <x:v>PREVENTIVE</x:v>
      </x:c>
      <x:c r="L44" s="10" t="n">
        <x:v>4541.89</x:v>
      </x:c>
      <x:c r="M44" s="5" t="n">
        <x:v>0</x:v>
      </x:c>
      <x:c r="N44" s="5" t="str">
        <x:v>NORMAL</x:v>
      </x:c>
      <x:c r="O44" s="11" t="str">
        <x:f>LEFT(B44,7)</x:f>
        <x:v>2026-03</x:v>
      </x:c>
    </x:row>
    <x:row r="45">
      <x:c r="A45" s="5" t="str">
        <x:v>OP00044</x:v>
      </x:c>
      <x:c r="B45" s="5" t="str">
        <x:v>2026-03-28 04:00:00</x:v>
      </x:c>
      <x:c r="C45" s="5" t="str">
        <x:v>S004</x:v>
      </x:c>
      <x:c r="D45" s="5" t="str">
        <x:v>A011</x:v>
      </x:c>
      <x:c r="E45" s="5" t="str">
        <x:v>NIGHT</x:v>
      </x:c>
      <x:c r="F45" s="9" t="n">
        <x:v>255.25</x:v>
      </x:c>
      <x:c r="G45" s="9" t="n">
        <x:v>344575.05</x:v>
      </x:c>
      <x:c r="H45" s="9" t="n">
        <x:v>0.332</x:v>
      </x:c>
      <x:c r="I45" s="9" t="n">
        <x:v>97.25</x:v>
      </x:c>
      <x:c r="J45" s="9" t="n">
        <x:v>0.06</x:v>
      </x:c>
      <x:c r="K45" s="5" t="str">
        <x:v>NONE</x:v>
      </x:c>
      <x:c r="L45" s="10" t="n">
        <x:v>0</x:v>
      </x:c>
      <x:c r="M45" s="5" t="n">
        <x:v>0</x:v>
      </x:c>
      <x:c r="N45" s="5" t="str">
        <x:v>NORMAL</x:v>
      </x:c>
      <x:c r="O45" s="11" t="str">
        <x:f>LEFT(B45,7)</x:f>
        <x:v>2026-03</x:v>
      </x:c>
    </x:row>
    <x:row r="46">
      <x:c r="A46" s="5" t="str">
        <x:v>OP00045</x:v>
      </x:c>
      <x:c r="B46" s="5" t="str">
        <x:v>2026-03-30 08:00:00</x:v>
      </x:c>
      <x:c r="C46" s="5" t="str">
        <x:v>S001</x:v>
      </x:c>
      <x:c r="D46" s="5" t="str">
        <x:v>A003</x:v>
      </x:c>
      <x:c r="E46" s="5" t="str">
        <x:v>DAY</x:v>
      </x:c>
      <x:c r="F46" s="9" t="n">
        <x:v>345.42</x:v>
      </x:c>
      <x:c r="G46" s="9" t="n">
        <x:v>458945.71</x:v>
      </x:c>
      <x:c r="H46" s="9" t="n">
        <x:v>0.195</x:v>
      </x:c>
      <x:c r="I46" s="9" t="n">
        <x:v>95.97</x:v>
      </x:c>
      <x:c r="J46" s="9" t="n">
        <x:v>0.34</x:v>
      </x:c>
      <x:c r="K46" s="5" t="str">
        <x:v>INSPECTION</x:v>
      </x:c>
      <x:c r="L46" s="10" t="n">
        <x:v>2901.03</x:v>
      </x:c>
      <x:c r="M46" s="5" t="n">
        <x:v>0</x:v>
      </x:c>
      <x:c r="N46" s="5" t="str">
        <x:v>NORMAL</x:v>
      </x:c>
      <x:c r="O46" s="11" t="str">
        <x:f>LEFT(B46,7)</x:f>
        <x:v>2026-03</x:v>
      </x:c>
    </x:row>
    <x:row r="47">
      <x:c r="A47" s="5" t="str">
        <x:v>OP00046</x:v>
      </x:c>
      <x:c r="B47" s="5" t="str">
        <x:v>2026-04-01 12:00:00</x:v>
      </x:c>
      <x:c r="C47" s="5" t="str">
        <x:v>S002</x:v>
      </x:c>
      <x:c r="D47" s="5" t="str">
        <x:v>A006</x:v>
      </x:c>
      <x:c r="E47" s="5" t="str">
        <x:v>DAY</x:v>
      </x:c>
      <x:c r="F47" s="9" t="n">
        <x:v>99.3</x:v>
      </x:c>
      <x:c r="G47" s="9" t="n">
        <x:v>135903.47</x:v>
      </x:c>
      <x:c r="H47" s="9" t="n">
        <x:v>0.31</x:v>
      </x:c>
      <x:c r="I47" s="9" t="n">
        <x:v>95.87</x:v>
      </x:c>
      <x:c r="J47" s="9" t="n">
        <x:v>0.03</x:v>
      </x:c>
      <x:c r="K47" s="5" t="str">
        <x:v>NONE</x:v>
      </x:c>
      <x:c r="L47" s="10" t="n">
        <x:v>0</x:v>
      </x:c>
      <x:c r="M47" s="5" t="n">
        <x:v>0</x:v>
      </x:c>
      <x:c r="N47" s="5" t="str">
        <x:v>NORMAL</x:v>
      </x:c>
      <x:c r="O47" s="11" t="str">
        <x:f>LEFT(B47,7)</x:f>
        <x:v>2026-04</x:v>
      </x:c>
    </x:row>
    <x:row r="48">
      <x:c r="A48" s="5" t="str">
        <x:v>OP00047</x:v>
      </x:c>
      <x:c r="B48" s="5" t="str">
        <x:v>2026-04-03 16:00:00</x:v>
      </x:c>
      <x:c r="C48" s="5" t="str">
        <x:v>S003</x:v>
      </x:c>
      <x:c r="D48" s="5" t="str">
        <x:v>A009</x:v>
      </x:c>
      <x:c r="E48" s="5" t="str">
        <x:v>DAY</x:v>
      </x:c>
      <x:c r="F48" s="9" t="n">
        <x:v>537.13</x:v>
      </x:c>
      <x:c r="G48" s="9" t="n">
        <x:v>722488.65</x:v>
      </x:c>
      <x:c r="H48" s="9" t="n">
        <x:v>0.691</x:v>
      </x:c>
      <x:c r="I48" s="9" t="n">
        <x:v>96.33</x:v>
      </x:c>
      <x:c r="J48" s="9" t="n">
        <x:v>0.23</x:v>
      </x:c>
      <x:c r="K48" s="5" t="str">
        <x:v>NONE</x:v>
      </x:c>
      <x:c r="L48" s="10" t="n">
        <x:v>0</x:v>
      </x:c>
      <x:c r="M48" s="5" t="n">
        <x:v>0</x:v>
      </x:c>
      <x:c r="N48" s="5" t="str">
        <x:v>NORMAL</x:v>
      </x:c>
      <x:c r="O48" s="11" t="str">
        <x:f>LEFT(B48,7)</x:f>
        <x:v>2026-04</x:v>
      </x:c>
    </x:row>
    <x:row r="49">
      <x:c r="A49" s="5" t="str">
        <x:v>OP00048</x:v>
      </x:c>
      <x:c r="B49" s="5" t="str">
        <x:v>2026-04-05 20:00:00</x:v>
      </x:c>
      <x:c r="C49" s="5" t="str">
        <x:v>S004</x:v>
      </x:c>
      <x:c r="D49" s="5" t="str">
        <x:v>A012</x:v>
      </x:c>
      <x:c r="E49" s="5" t="str">
        <x:v>NIGHT</x:v>
      </x:c>
      <x:c r="F49" s="9" t="n">
        <x:v>266.33</x:v>
      </x:c>
      <x:c r="G49" s="9" t="n">
        <x:v>352327.66</x:v>
      </x:c>
      <x:c r="H49" s="9" t="n">
        <x:v>0.31</x:v>
      </x:c>
      <x:c r="I49" s="9" t="n">
        <x:v>97.66</x:v>
      </x:c>
      <x:c r="J49" s="9" t="n">
        <x:v>0.13</x:v>
      </x:c>
      <x:c r="K49" s="5" t="str">
        <x:v>NONE</x:v>
      </x:c>
      <x:c r="L49" s="10" t="n">
        <x:v>0</x:v>
      </x:c>
      <x:c r="M49" s="5" t="n">
        <x:v>1</x:v>
      </x:c>
      <x:c r="N49" s="5" t="str">
        <x:v>ALARM</x:v>
      </x:c>
      <x:c r="O49" s="11" t="str">
        <x:f>LEFT(B49,7)</x:f>
        <x:v>2026-04</x:v>
      </x:c>
    </x:row>
    <x:row r="50">
      <x:c r="A50" s="5" t="str">
        <x:v>OP00049</x:v>
      </x:c>
      <x:c r="B50" s="5" t="str">
        <x:v>2026-04-07 00:00:00</x:v>
      </x:c>
      <x:c r="C50" s="5" t="str">
        <x:v>S001</x:v>
      </x:c>
      <x:c r="D50" s="5" t="str">
        <x:v>A001</x:v>
      </x:c>
      <x:c r="E50" s="5" t="str">
        <x:v>NIGHT</x:v>
      </x:c>
      <x:c r="F50" s="9" t="n">
        <x:v>425.65</x:v>
      </x:c>
      <x:c r="G50" s="9" t="n">
        <x:v>584439.48</x:v>
      </x:c>
      <x:c r="H50" s="9" t="n">
        <x:v>0.444</x:v>
      </x:c>
      <x:c r="I50" s="9" t="n">
        <x:v>97.21</x:v>
      </x:c>
      <x:c r="J50" s="9" t="n">
        <x:v>0.17</x:v>
      </x:c>
      <x:c r="K50" s="5" t="str">
        <x:v>NONE</x:v>
      </x:c>
      <x:c r="L50" s="10" t="n">
        <x:v>0</x:v>
      </x:c>
      <x:c r="M50" s="5" t="n">
        <x:v>0</x:v>
      </x:c>
      <x:c r="N50" s="5" t="str">
        <x:v>NORMAL</x:v>
      </x:c>
      <x:c r="O50" s="11" t="str">
        <x:f>LEFT(B50,7)</x:f>
        <x:v>2026-04</x:v>
      </x:c>
    </x:row>
    <x:row r="51">
      <x:c r="A51" s="5" t="str">
        <x:v>OP00050</x:v>
      </x:c>
      <x:c r="B51" s="5" t="str">
        <x:v>2026-04-09 04:00:00</x:v>
      </x:c>
      <x:c r="C51" s="5" t="str">
        <x:v>S002</x:v>
      </x:c>
      <x:c r="D51" s="5" t="str">
        <x:v>A004</x:v>
      </x:c>
      <x:c r="E51" s="5" t="str">
        <x:v>NIGHT</x:v>
      </x:c>
      <x:c r="F51" s="9" t="n">
        <x:v>93.25</x:v>
      </x:c>
      <x:c r="G51" s="9" t="n">
        <x:v>124231.46</x:v>
      </x:c>
      <x:c r="H51" s="9" t="n">
        <x:v>0.132</x:v>
      </x:c>
      <x:c r="I51" s="9" t="n">
        <x:v>98.42</x:v>
      </x:c>
      <x:c r="J51" s="9" t="n">
        <x:v>0.59</x:v>
      </x:c>
      <x:c r="K51" s="5" t="str">
        <x:v>PREVENTIVE</x:v>
      </x:c>
      <x:c r="L51" s="10" t="n">
        <x:v>10867.04</x:v>
      </x:c>
      <x:c r="M51" s="5" t="n">
        <x:v>0</x:v>
      </x:c>
      <x:c r="N51" s="5" t="str">
        <x:v>NORMAL</x:v>
      </x:c>
      <x:c r="O51" s="11" t="str">
        <x:f>LEFT(B51,7)</x:f>
        <x:v>2026-04</x:v>
      </x:c>
    </x:row>
    <x:row r="52">
      <x:c r="A52" s="5" t="str">
        <x:v>OP00051</x:v>
      </x:c>
      <x:c r="B52" s="5" t="str">
        <x:v>2026-04-11 08:00:00</x:v>
      </x:c>
      <x:c r="C52" s="5" t="str">
        <x:v>S003</x:v>
      </x:c>
      <x:c r="D52" s="5" t="str">
        <x:v>A007</x:v>
      </x:c>
      <x:c r="E52" s="5" t="str">
        <x:v>DAY</x:v>
      </x:c>
      <x:c r="F52" s="9" t="n">
        <x:v>527.89</x:v>
      </x:c>
      <x:c r="G52" s="9" t="n">
        <x:v>675528.78</x:v>
      </x:c>
      <x:c r="H52" s="9" t="n">
        <x:v>0.526</x:v>
      </x:c>
      <x:c r="I52" s="9" t="n">
        <x:v>95.76</x:v>
      </x:c>
      <x:c r="J52" s="9" t="n">
        <x:v>0.03</x:v>
      </x:c>
      <x:c r="K52" s="5" t="str">
        <x:v>NONE</x:v>
      </x:c>
      <x:c r="L52" s="10" t="n">
        <x:v>0</x:v>
      </x:c>
      <x:c r="M52" s="5" t="n">
        <x:v>0</x:v>
      </x:c>
      <x:c r="N52" s="5" t="str">
        <x:v>NORMAL</x:v>
      </x:c>
      <x:c r="O52" s="11" t="str">
        <x:f>LEFT(B52,7)</x:f>
        <x:v>2026-04</x:v>
      </x:c>
    </x:row>
    <x:row r="53">
      <x:c r="A53" s="5" t="str">
        <x:v>OP00052</x:v>
      </x:c>
      <x:c r="B53" s="5" t="str">
        <x:v>2026-04-13 12:00:00</x:v>
      </x:c>
      <x:c r="C53" s="5" t="str">
        <x:v>S004</x:v>
      </x:c>
      <x:c r="D53" s="5" t="str">
        <x:v>A010</x:v>
      </x:c>
      <x:c r="E53" s="5" t="str">
        <x:v>DAY</x:v>
      </x:c>
      <x:c r="F53" s="9" t="n">
        <x:v>280.26</x:v>
      </x:c>
      <x:c r="G53" s="9" t="n">
        <x:v>381389.53</x:v>
      </x:c>
      <x:c r="H53" s="9" t="n">
        <x:v>0.25</x:v>
      </x:c>
      <x:c r="I53" s="9" t="n">
        <x:v>96.08</x:v>
      </x:c>
      <x:c r="J53" s="9" t="n">
        <x:v>0.2</x:v>
      </x:c>
      <x:c r="K53" s="5" t="str">
        <x:v>NONE</x:v>
      </x:c>
      <x:c r="L53" s="10" t="n">
        <x:v>0</x:v>
      </x:c>
      <x:c r="M53" s="5" t="n">
        <x:v>0</x:v>
      </x:c>
      <x:c r="N53" s="5" t="str">
        <x:v>NORMAL</x:v>
      </x:c>
      <x:c r="O53" s="11" t="str">
        <x:f>LEFT(B53,7)</x:f>
        <x:v>2026-04</x:v>
      </x:c>
    </x:row>
    <x:row r="54">
      <x:c r="A54" s="5" t="str">
        <x:v>OP00053</x:v>
      </x:c>
      <x:c r="B54" s="5" t="str">
        <x:v>2026-04-15 16:00:00</x:v>
      </x:c>
      <x:c r="C54" s="5" t="str">
        <x:v>S001</x:v>
      </x:c>
      <x:c r="D54" s="5" t="str">
        <x:v>A002</x:v>
      </x:c>
      <x:c r="E54" s="5" t="str">
        <x:v>DAY</x:v>
      </x:c>
      <x:c r="F54" s="9" t="n">
        <x:v>385.09</x:v>
      </x:c>
      <x:c r="G54" s="9" t="n">
        <x:v>531020.42</x:v>
      </x:c>
      <x:c r="H54" s="9" t="n">
        <x:v>0.687</x:v>
      </x:c>
      <x:c r="I54" s="9" t="n">
        <x:v>98.62</x:v>
      </x:c>
      <x:c r="J54" s="9" t="n">
        <x:v>0.04</x:v>
      </x:c>
      <x:c r="K54" s="5" t="str">
        <x:v>NONE</x:v>
      </x:c>
      <x:c r="L54" s="10" t="n">
        <x:v>0</x:v>
      </x:c>
      <x:c r="M54" s="5" t="n">
        <x:v>0</x:v>
      </x:c>
      <x:c r="N54" s="5" t="str">
        <x:v>NORMAL</x:v>
      </x:c>
      <x:c r="O54" s="11" t="str">
        <x:f>LEFT(B54,7)</x:f>
        <x:v>2026-04</x:v>
      </x:c>
    </x:row>
    <x:row r="55">
      <x:c r="A55" s="5" t="str">
        <x:v>OP00054</x:v>
      </x:c>
      <x:c r="B55" s="5" t="str">
        <x:v>2026-04-17 20:00:00</x:v>
      </x:c>
      <x:c r="C55" s="5" t="str">
        <x:v>S002</x:v>
      </x:c>
      <x:c r="D55" s="5" t="str">
        <x:v>A005</x:v>
      </x:c>
      <x:c r="E55" s="5" t="str">
        <x:v>NIGHT</x:v>
      </x:c>
      <x:c r="F55" s="9" t="n">
        <x:v>108.34</x:v>
      </x:c>
      <x:c r="G55" s="9" t="n">
        <x:v>142414.66</x:v>
      </x:c>
      <x:c r="H55" s="9" t="n">
        <x:v>0.668</x:v>
      </x:c>
      <x:c r="I55" s="9" t="n">
        <x:v>96.8</x:v>
      </x:c>
      <x:c r="J55" s="9" t="n">
        <x:v>0.24</x:v>
      </x:c>
      <x:c r="K55" s="5" t="str">
        <x:v>NONE</x:v>
      </x:c>
      <x:c r="L55" s="10" t="n">
        <x:v>0</x:v>
      </x:c>
      <x:c r="M55" s="5" t="n">
        <x:v>0</x:v>
      </x:c>
      <x:c r="N55" s="5" t="str">
        <x:v>NORMAL</x:v>
      </x:c>
      <x:c r="O55" s="11" t="str">
        <x:f>LEFT(B55,7)</x:f>
        <x:v>2026-04</x:v>
      </x:c>
    </x:row>
    <x:row r="56">
      <x:c r="A56" s="5" t="str">
        <x:v>OP00055</x:v>
      </x:c>
      <x:c r="B56" s="5" t="str">
        <x:v>2026-04-19 00:00:00</x:v>
      </x:c>
      <x:c r="C56" s="5" t="str">
        <x:v>S003</x:v>
      </x:c>
      <x:c r="D56" s="5" t="str">
        <x:v>A008</x:v>
      </x:c>
      <x:c r="E56" s="5" t="str">
        <x:v>NIGHT</x:v>
      </x:c>
      <x:c r="F56" s="9" t="n">
        <x:v>590.93</x:v>
      </x:c>
      <x:c r="G56" s="9" t="n">
        <x:v>815479.5</x:v>
      </x:c>
      <x:c r="H56" s="9" t="n">
        <x:v>0.273</x:v>
      </x:c>
      <x:c r="I56" s="9" t="n">
        <x:v>96.14</x:v>
      </x:c>
      <x:c r="J56" s="9" t="n">
        <x:v>0.13</x:v>
      </x:c>
      <x:c r="K56" s="5" t="str">
        <x:v>NONE</x:v>
      </x:c>
      <x:c r="L56" s="10" t="n">
        <x:v>0</x:v>
      </x:c>
      <x:c r="M56" s="5" t="n">
        <x:v>0</x:v>
      </x:c>
      <x:c r="N56" s="5" t="str">
        <x:v>NORMAL</x:v>
      </x:c>
      <x:c r="O56" s="11" t="str">
        <x:f>LEFT(B56,7)</x:f>
        <x:v>2026-04</x:v>
      </x:c>
    </x:row>
    <x:row r="57">
      <x:c r="A57" s="5" t="str">
        <x:v>OP00056</x:v>
      </x:c>
      <x:c r="B57" s="5" t="str">
        <x:v>2026-04-21 04:00:00</x:v>
      </x:c>
      <x:c r="C57" s="5" t="str">
        <x:v>S004</x:v>
      </x:c>
      <x:c r="D57" s="5" t="str">
        <x:v>A011</x:v>
      </x:c>
      <x:c r="E57" s="5" t="str">
        <x:v>NIGHT</x:v>
      </x:c>
      <x:c r="F57" s="9" t="n">
        <x:v>206.57</x:v>
      </x:c>
      <x:c r="G57" s="9" t="n">
        <x:v>264830.62</x:v>
      </x:c>
      <x:c r="H57" s="9" t="n">
        <x:v>0.558</x:v>
      </x:c>
      <x:c r="I57" s="9" t="n">
        <x:v>98.65</x:v>
      </x:c>
      <x:c r="J57" s="9" t="n">
        <x:v>1.14</x:v>
      </x:c>
      <x:c r="K57" s="5" t="str">
        <x:v>INSPECTION</x:v>
      </x:c>
      <x:c r="L57" s="10" t="n">
        <x:v>3984.1</x:v>
      </x:c>
      <x:c r="M57" s="5" t="n">
        <x:v>0</x:v>
      </x:c>
      <x:c r="N57" s="5" t="str">
        <x:v>NORMAL</x:v>
      </x:c>
      <x:c r="O57" s="11" t="str">
        <x:f>LEFT(B57,7)</x:f>
        <x:v>2026-04</x:v>
      </x:c>
    </x:row>
    <x:row r="58">
      <x:c r="A58" s="5" t="str">
        <x:v>OP00057</x:v>
      </x:c>
      <x:c r="B58" s="5" t="str">
        <x:v>2026-04-23 08:00:00</x:v>
      </x:c>
      <x:c r="C58" s="5" t="str">
        <x:v>S001</x:v>
      </x:c>
      <x:c r="D58" s="5" t="str">
        <x:v>A003</x:v>
      </x:c>
      <x:c r="E58" s="5" t="str">
        <x:v>DAY</x:v>
      </x:c>
      <x:c r="F58" s="9" t="n">
        <x:v>404.52</x:v>
      </x:c>
      <x:c r="G58" s="9" t="n">
        <x:v>505677.46</x:v>
      </x:c>
      <x:c r="H58" s="9" t="n">
        <x:v>0.529</x:v>
      </x:c>
      <x:c r="I58" s="9" t="n">
        <x:v>96.01</x:v>
      </x:c>
      <x:c r="J58" s="9" t="n">
        <x:v>1.4</x:v>
      </x:c>
      <x:c r="K58" s="5" t="str">
        <x:v>PREVENTIVE</x:v>
      </x:c>
      <x:c r="L58" s="10" t="n">
        <x:v>11050.06</x:v>
      </x:c>
      <x:c r="M58" s="5" t="n">
        <x:v>0</x:v>
      </x:c>
      <x:c r="N58" s="5" t="str">
        <x:v>NORMAL</x:v>
      </x:c>
      <x:c r="O58" s="11" t="str">
        <x:f>LEFT(B58,7)</x:f>
        <x:v>2026-04</x:v>
      </x:c>
    </x:row>
    <x:row r="59">
      <x:c r="A59" s="5" t="str">
        <x:v>OP00058</x:v>
      </x:c>
      <x:c r="B59" s="5" t="str">
        <x:v>2026-04-25 12:00:00</x:v>
      </x:c>
      <x:c r="C59" s="5" t="str">
        <x:v>S002</x:v>
      </x:c>
      <x:c r="D59" s="5" t="str">
        <x:v>A006</x:v>
      </x:c>
      <x:c r="E59" s="5" t="str">
        <x:v>DAY</x:v>
      </x:c>
      <x:c r="F59" s="9" t="n">
        <x:v>101.99</x:v>
      </x:c>
      <x:c r="G59" s="9" t="n">
        <x:v>131601.32</x:v>
      </x:c>
      <x:c r="H59" s="9" t="n">
        <x:v>0.648</x:v>
      </x:c>
      <x:c r="I59" s="9" t="n">
        <x:v>98.68</x:v>
      </x:c>
      <x:c r="J59" s="9" t="n">
        <x:v>0.25</x:v>
      </x:c>
      <x:c r="K59" s="5" t="str">
        <x:v>NONE</x:v>
      </x:c>
      <x:c r="L59" s="10" t="n">
        <x:v>0</x:v>
      </x:c>
      <x:c r="M59" s="5" t="n">
        <x:v>0</x:v>
      </x:c>
      <x:c r="N59" s="5" t="str">
        <x:v>NORMAL</x:v>
      </x:c>
      <x:c r="O59" s="11" t="str">
        <x:f>LEFT(B59,7)</x:f>
        <x:v>2026-04</x:v>
      </x:c>
    </x:row>
    <x:row r="60">
      <x:c r="A60" s="5" t="str">
        <x:v>OP00059</x:v>
      </x:c>
      <x:c r="B60" s="5" t="str">
        <x:v>2026-04-27 16:00:00</x:v>
      </x:c>
      <x:c r="C60" s="5" t="str">
        <x:v>S003</x:v>
      </x:c>
      <x:c r="D60" s="5" t="str">
        <x:v>A009</x:v>
      </x:c>
      <x:c r="E60" s="5" t="str">
        <x:v>DAY</x:v>
      </x:c>
      <x:c r="F60" s="9" t="n">
        <x:v>611.96</x:v>
      </x:c>
      <x:c r="G60" s="9" t="n">
        <x:v>790222.79</x:v>
      </x:c>
      <x:c r="H60" s="9" t="n">
        <x:v>0.299</x:v>
      </x:c>
      <x:c r="I60" s="9" t="n">
        <x:v>95.9</x:v>
      </x:c>
      <x:c r="J60" s="9" t="n">
        <x:v>4.81</x:v>
      </x:c>
      <x:c r="K60" s="5" t="str">
        <x:v>CORRECTIVE</x:v>
      </x:c>
      <x:c r="L60" s="10" t="n">
        <x:v>42075.99</x:v>
      </x:c>
      <x:c r="M60" s="5" t="n">
        <x:v>0</x:v>
      </x:c>
      <x:c r="N60" s="5" t="str">
        <x:v>WATCH</x:v>
      </x:c>
      <x:c r="O60" s="11" t="str">
        <x:f>LEFT(B60,7)</x:f>
        <x:v>2026-04</x:v>
      </x:c>
    </x:row>
    <x:row r="61">
      <x:c r="A61" s="5" t="str">
        <x:v>OP00060</x:v>
      </x:c>
      <x:c r="B61" s="5" t="str">
        <x:v>2026-04-29 20:00:00</x:v>
      </x:c>
      <x:c r="C61" s="5" t="str">
        <x:v>S004</x:v>
      </x:c>
      <x:c r="D61" s="5" t="str">
        <x:v>A012</x:v>
      </x:c>
      <x:c r="E61" s="5" t="str">
        <x:v>NIGHT</x:v>
      </x:c>
      <x:c r="F61" s="9" t="n">
        <x:v>270.78</x:v>
      </x:c>
      <x:c r="G61" s="9" t="n">
        <x:v>349343.02</x:v>
      </x:c>
      <x:c r="H61" s="9" t="n">
        <x:v>0.354</x:v>
      </x:c>
      <x:c r="I61" s="9" t="n">
        <x:v>98.52</x:v>
      </x:c>
      <x:c r="J61" s="9" t="n">
        <x:v>0.02</x:v>
      </x:c>
      <x:c r="K61" s="5" t="str">
        <x:v>NONE</x:v>
      </x:c>
      <x:c r="L61" s="10" t="n">
        <x:v>0</x:v>
      </x:c>
      <x:c r="M61" s="5" t="n">
        <x:v>0</x:v>
      </x:c>
      <x:c r="N61" s="5" t="str">
        <x:v>NORMAL</x:v>
      </x:c>
      <x:c r="O61" s="11" t="str">
        <x:f>LEFT(B61,7)</x:f>
        <x:v>2026-04</x:v>
      </x:c>
    </x:row>
    <x:row r="62">
      <x:c r="A62" s="5" t="str">
        <x:v>OP00061</x:v>
      </x:c>
      <x:c r="B62" s="5" t="str">
        <x:v>2026-05-01 00:00:00</x:v>
      </x:c>
      <x:c r="C62" s="5" t="str">
        <x:v>S001</x:v>
      </x:c>
      <x:c r="D62" s="5" t="str">
        <x:v>A001</x:v>
      </x:c>
      <x:c r="E62" s="5" t="str">
        <x:v>NIGHT</x:v>
      </x:c>
      <x:c r="F62" s="9" t="n">
        <x:v>371.49</x:v>
      </x:c>
      <x:c r="G62" s="9" t="n">
        <x:v>477937.05</x:v>
      </x:c>
      <x:c r="H62" s="9" t="n">
        <x:v>0.649</x:v>
      </x:c>
      <x:c r="I62" s="9" t="n">
        <x:v>97.01</x:v>
      </x:c>
      <x:c r="J62" s="9" t="n">
        <x:v>0.07</x:v>
      </x:c>
      <x:c r="K62" s="5" t="str">
        <x:v>NONE</x:v>
      </x:c>
      <x:c r="L62" s="10" t="n">
        <x:v>0</x:v>
      </x:c>
      <x:c r="M62" s="5" t="n">
        <x:v>0</x:v>
      </x:c>
      <x:c r="N62" s="5" t="str">
        <x:v>NORMAL</x:v>
      </x:c>
      <x:c r="O62" s="11" t="str">
        <x:f>LEFT(B62,7)</x:f>
        <x:v>2026-05</x:v>
      </x:c>
    </x:row>
    <x:row r="63">
      <x:c r="A63" s="5" t="str">
        <x:v>OP00062</x:v>
      </x:c>
      <x:c r="B63" s="5" t="str">
        <x:v>2026-05-03 04:00:00</x:v>
      </x:c>
      <x:c r="C63" s="5" t="str">
        <x:v>S002</x:v>
      </x:c>
      <x:c r="D63" s="5" t="str">
        <x:v>A004</x:v>
      </x:c>
      <x:c r="E63" s="5" t="str">
        <x:v>NIGHT</x:v>
      </x:c>
      <x:c r="F63" s="9" t="n">
        <x:v>111.39</x:v>
      </x:c>
      <x:c r="G63" s="9" t="n">
        <x:v>146143.16</x:v>
      </x:c>
      <x:c r="H63" s="9" t="n">
        <x:v>0.692</x:v>
      </x:c>
      <x:c r="I63" s="9" t="n">
        <x:v>96.82</x:v>
      </x:c>
      <x:c r="J63" s="9" t="n">
        <x:v>0.21</x:v>
      </x:c>
      <x:c r="K63" s="5" t="str">
        <x:v>NONE</x:v>
      </x:c>
      <x:c r="L63" s="10" t="n">
        <x:v>0</x:v>
      </x:c>
      <x:c r="M63" s="5" t="n">
        <x:v>0</x:v>
      </x:c>
      <x:c r="N63" s="5" t="str">
        <x:v>NORMAL</x:v>
      </x:c>
      <x:c r="O63" s="11" t="str">
        <x:f>LEFT(B63,7)</x:f>
        <x:v>2026-05</x:v>
      </x:c>
    </x:row>
    <x:row r="64">
      <x:c r="A64" s="5" t="str">
        <x:v>OP00063</x:v>
      </x:c>
      <x:c r="B64" s="5" t="str">
        <x:v>2026-05-05 08:00:00</x:v>
      </x:c>
      <x:c r="C64" s="5" t="str">
        <x:v>S003</x:v>
      </x:c>
      <x:c r="D64" s="5" t="str">
        <x:v>A007</x:v>
      </x:c>
      <x:c r="E64" s="5" t="str">
        <x:v>DAY</x:v>
      </x:c>
      <x:c r="F64" s="9" t="n">
        <x:v>662.69</x:v>
      </x:c>
      <x:c r="G64" s="9" t="n">
        <x:v>883577.62</x:v>
      </x:c>
      <x:c r="H64" s="9" t="n">
        <x:v>0.237</x:v>
      </x:c>
      <x:c r="I64" s="9" t="n">
        <x:v>97.71</x:v>
      </x:c>
      <x:c r="J64" s="9" t="n">
        <x:v>0.16</x:v>
      </x:c>
      <x:c r="K64" s="5" t="str">
        <x:v>NONE</x:v>
      </x:c>
      <x:c r="L64" s="10" t="n">
        <x:v>0</x:v>
      </x:c>
      <x:c r="M64" s="5" t="n">
        <x:v>0</x:v>
      </x:c>
      <x:c r="N64" s="5" t="str">
        <x:v>NORMAL</x:v>
      </x:c>
      <x:c r="O64" s="11" t="str">
        <x:f>LEFT(B64,7)</x:f>
        <x:v>2026-05</x:v>
      </x:c>
    </x:row>
    <x:row r="65">
      <x:c r="A65" s="5" t="str">
        <x:v>OP00064</x:v>
      </x:c>
      <x:c r="B65" s="5" t="str">
        <x:v>2026-05-07 12:00:00</x:v>
      </x:c>
      <x:c r="C65" s="5" t="str">
        <x:v>S004</x:v>
      </x:c>
      <x:c r="D65" s="5" t="str">
        <x:v>A010</x:v>
      </x:c>
      <x:c r="E65" s="5" t="str">
        <x:v>DAY</x:v>
      </x:c>
      <x:c r="F65" s="9" t="n">
        <x:v>278.88</x:v>
      </x:c>
      <x:c r="G65" s="9" t="n">
        <x:v>370706.8</x:v>
      </x:c>
      <x:c r="H65" s="9" t="n">
        <x:v>0.633</x:v>
      </x:c>
      <x:c r="I65" s="9" t="n">
        <x:v>97.68</x:v>
      </x:c>
      <x:c r="J65" s="9" t="n">
        <x:v>1.58</x:v>
      </x:c>
      <x:c r="K65" s="5" t="str">
        <x:v>PREVENTIVE</x:v>
      </x:c>
      <x:c r="L65" s="10" t="n">
        <x:v>7141.93</x:v>
      </x:c>
      <x:c r="M65" s="5" t="n">
        <x:v>0</x:v>
      </x:c>
      <x:c r="N65" s="5" t="str">
        <x:v>NORMAL</x:v>
      </x:c>
      <x:c r="O65" s="11" t="str">
        <x:f>LEFT(B65,7)</x:f>
        <x:v>2026-05</x:v>
      </x:c>
    </x:row>
    <x:row r="66">
      <x:c r="A66" s="5" t="str">
        <x:v>OP00065</x:v>
      </x:c>
      <x:c r="B66" s="5" t="str">
        <x:v>2026-05-09 16:00:00</x:v>
      </x:c>
      <x:c r="C66" s="5" t="str">
        <x:v>S001</x:v>
      </x:c>
      <x:c r="D66" s="5" t="str">
        <x:v>A002</x:v>
      </x:c>
      <x:c r="E66" s="5" t="str">
        <x:v>DAY</x:v>
      </x:c>
      <x:c r="F66" s="9" t="n">
        <x:v>434.11</x:v>
      </x:c>
      <x:c r="G66" s="9" t="n">
        <x:v>597270</x:v>
      </x:c>
      <x:c r="H66" s="9" t="n">
        <x:v>0.563</x:v>
      </x:c>
      <x:c r="I66" s="9" t="n">
        <x:v>97.72</x:v>
      </x:c>
      <x:c r="J66" s="9" t="n">
        <x:v>0.17</x:v>
      </x:c>
      <x:c r="K66" s="5" t="str">
        <x:v>NONE</x:v>
      </x:c>
      <x:c r="L66" s="10" t="n">
        <x:v>0</x:v>
      </x:c>
      <x:c r="M66" s="5" t="n">
        <x:v>0</x:v>
      </x:c>
      <x:c r="N66" s="5" t="str">
        <x:v>NORMAL</x:v>
      </x:c>
      <x:c r="O66" s="11" t="str">
        <x:f>LEFT(B66,7)</x:f>
        <x:v>2026-05</x:v>
      </x:c>
    </x:row>
    <x:row r="67">
      <x:c r="A67" s="5" t="str">
        <x:v>OP00066</x:v>
      </x:c>
      <x:c r="B67" s="5" t="str">
        <x:v>2026-05-11 20:00:00</x:v>
      </x:c>
      <x:c r="C67" s="5" t="str">
        <x:v>S002</x:v>
      </x:c>
      <x:c r="D67" s="5" t="str">
        <x:v>A005</x:v>
      </x:c>
      <x:c r="E67" s="5" t="str">
        <x:v>NIGHT</x:v>
      </x:c>
      <x:c r="F67" s="9" t="n">
        <x:v>110.33</x:v>
      </x:c>
      <x:c r="G67" s="9" t="n">
        <x:v>150593.27</x:v>
      </x:c>
      <x:c r="H67" s="9" t="n">
        <x:v>0.343</x:v>
      </x:c>
      <x:c r="I67" s="9" t="n">
        <x:v>96.51</x:v>
      </x:c>
      <x:c r="J67" s="9" t="n">
        <x:v>0.16</x:v>
      </x:c>
      <x:c r="K67" s="5" t="str">
        <x:v>NONE</x:v>
      </x:c>
      <x:c r="L67" s="10" t="n">
        <x:v>0</x:v>
      </x:c>
      <x:c r="M67" s="5" t="n">
        <x:v>0</x:v>
      </x:c>
      <x:c r="N67" s="5" t="str">
        <x:v>NORMAL</x:v>
      </x:c>
      <x:c r="O67" s="11" t="str">
        <x:f>LEFT(B67,7)</x:f>
        <x:v>2026-05</x:v>
      </x:c>
    </x:row>
    <x:row r="68">
      <x:c r="A68" s="5" t="str">
        <x:v>OP00067</x:v>
      </x:c>
      <x:c r="B68" s="5" t="str">
        <x:v>2026-05-13 00:00:00</x:v>
      </x:c>
      <x:c r="C68" s="5" t="str">
        <x:v>S003</x:v>
      </x:c>
      <x:c r="D68" s="5" t="str">
        <x:v>A008</x:v>
      </x:c>
      <x:c r="E68" s="5" t="str">
        <x:v>NIGHT</x:v>
      </x:c>
      <x:c r="F68" s="9" t="n">
        <x:v>625.91</x:v>
      </x:c>
      <x:c r="G68" s="9" t="n">
        <x:v>828446.12</x:v>
      </x:c>
      <x:c r="H68" s="9" t="n">
        <x:v>0.337</x:v>
      </x:c>
      <x:c r="I68" s="9" t="n">
        <x:v>97.54</x:v>
      </x:c>
      <x:c r="J68" s="9" t="n">
        <x:v>0.62</x:v>
      </x:c>
      <x:c r="K68" s="5" t="str">
        <x:v>INSPECTION</x:v>
      </x:c>
      <x:c r="L68" s="10" t="n">
        <x:v>2113.26</x:v>
      </x:c>
      <x:c r="M68" s="5" t="n">
        <x:v>0</x:v>
      </x:c>
      <x:c r="N68" s="5" t="str">
        <x:v>NORMAL</x:v>
      </x:c>
      <x:c r="O68" s="11" t="str">
        <x:f>LEFT(B68,7)</x:f>
        <x:v>2026-05</x:v>
      </x:c>
    </x:row>
    <x:row r="69">
      <x:c r="A69" s="5" t="str">
        <x:v>OP00068</x:v>
      </x:c>
      <x:c r="B69" s="5" t="str">
        <x:v>2026-05-15 04:00:00</x:v>
      </x:c>
      <x:c r="C69" s="5" t="str">
        <x:v>S004</x:v>
      </x:c>
      <x:c r="D69" s="5" t="str">
        <x:v>A011</x:v>
      </x:c>
      <x:c r="E69" s="5" t="str">
        <x:v>NIGHT</x:v>
      </x:c>
      <x:c r="F69" s="9" t="n">
        <x:v>239.39</x:v>
      </x:c>
      <x:c r="G69" s="9" t="n">
        <x:v>305417.04</x:v>
      </x:c>
      <x:c r="H69" s="9" t="n">
        <x:v>0.69</x:v>
      </x:c>
      <x:c r="I69" s="9" t="n">
        <x:v>97.87</x:v>
      </x:c>
      <x:c r="J69" s="9" t="n">
        <x:v>0.24</x:v>
      </x:c>
      <x:c r="K69" s="5" t="str">
        <x:v>NONE</x:v>
      </x:c>
      <x:c r="L69" s="10" t="n">
        <x:v>0</x:v>
      </x:c>
      <x:c r="M69" s="5" t="n">
        <x:v>0</x:v>
      </x:c>
      <x:c r="N69" s="5" t="str">
        <x:v>NORMAL</x:v>
      </x:c>
      <x:c r="O69" s="11" t="str">
        <x:f>LEFT(B69,7)</x:f>
        <x:v>2026-05</x:v>
      </x:c>
    </x:row>
    <x:row r="70">
      <x:c r="A70" s="5" t="str">
        <x:v>OP00069</x:v>
      </x:c>
      <x:c r="B70" s="5" t="str">
        <x:v>2026-05-17 08:00:00</x:v>
      </x:c>
      <x:c r="C70" s="5" t="str">
        <x:v>S001</x:v>
      </x:c>
      <x:c r="D70" s="5" t="str">
        <x:v>A003</x:v>
      </x:c>
      <x:c r="E70" s="5" t="str">
        <x:v>DAY</x:v>
      </x:c>
      <x:c r="F70" s="9" t="n">
        <x:v>405.32</x:v>
      </x:c>
      <x:c r="G70" s="9" t="n">
        <x:v>511200.52</x:v>
      </x:c>
      <x:c r="H70" s="9" t="n">
        <x:v>0.63</x:v>
      </x:c>
      <x:c r="I70" s="9" t="n">
        <x:v>96.26</x:v>
      </x:c>
      <x:c r="J70" s="9" t="n">
        <x:v>0.07</x:v>
      </x:c>
      <x:c r="K70" s="5" t="str">
        <x:v>NONE</x:v>
      </x:c>
      <x:c r="L70" s="10" t="n">
        <x:v>0</x:v>
      </x:c>
      <x:c r="M70" s="5" t="n">
        <x:v>0</x:v>
      </x:c>
      <x:c r="N70" s="5" t="str">
        <x:v>NORMAL</x:v>
      </x:c>
      <x:c r="O70" s="11" t="str">
        <x:f>LEFT(B70,7)</x:f>
        <x:v>2026-05</x:v>
      </x:c>
    </x:row>
    <x:row r="71">
      <x:c r="A71" s="5" t="str">
        <x:v>OP00070</x:v>
      </x:c>
      <x:c r="B71" s="5" t="str">
        <x:v>2026-05-19 12:00:00</x:v>
      </x:c>
      <x:c r="C71" s="5" t="str">
        <x:v>S002</x:v>
      </x:c>
      <x:c r="D71" s="5" t="str">
        <x:v>A006</x:v>
      </x:c>
      <x:c r="E71" s="5" t="str">
        <x:v>DAY</x:v>
      </x:c>
      <x:c r="F71" s="9" t="n">
        <x:v>112.39</x:v>
      </x:c>
      <x:c r="G71" s="9" t="n">
        <x:v>148893.66</x:v>
      </x:c>
      <x:c r="H71" s="9" t="n">
        <x:v>0.553</x:v>
      </x:c>
      <x:c r="I71" s="9" t="n">
        <x:v>96.15</x:v>
      </x:c>
      <x:c r="J71" s="9" t="n">
        <x:v>0.21</x:v>
      </x:c>
      <x:c r="K71" s="5" t="str">
        <x:v>NONE</x:v>
      </x:c>
      <x:c r="L71" s="10" t="n">
        <x:v>0</x:v>
      </x:c>
      <x:c r="M71" s="5" t="n">
        <x:v>0</x:v>
      </x:c>
      <x:c r="N71" s="5" t="str">
        <x:v>NORMAL</x:v>
      </x:c>
      <x:c r="O71" s="11" t="str">
        <x:f>LEFT(B71,7)</x:f>
        <x:v>2026-05</x:v>
      </x:c>
    </x:row>
    <x:row r="72">
      <x:c r="A72" s="5" t="str">
        <x:v>OP00071</x:v>
      </x:c>
      <x:c r="B72" s="5" t="str">
        <x:v>2026-05-21 16:00:00</x:v>
      </x:c>
      <x:c r="C72" s="5" t="str">
        <x:v>S003</x:v>
      </x:c>
      <x:c r="D72" s="5" t="str">
        <x:v>A009</x:v>
      </x:c>
      <x:c r="E72" s="5" t="str">
        <x:v>DAY</x:v>
      </x:c>
      <x:c r="F72" s="9" t="n">
        <x:v>586.21</x:v>
      </x:c>
      <x:c r="G72" s="9" t="n">
        <x:v>752207.42</x:v>
      </x:c>
      <x:c r="H72" s="9" t="n">
        <x:v>0.442</x:v>
      </x:c>
      <x:c r="I72" s="9" t="n">
        <x:v>96.17</x:v>
      </x:c>
      <x:c r="J72" s="9" t="n">
        <x:v>0.62</x:v>
      </x:c>
      <x:c r="K72" s="5" t="str">
        <x:v>PREVENTIVE</x:v>
      </x:c>
      <x:c r="L72" s="10" t="n">
        <x:v>13824.05</x:v>
      </x:c>
      <x:c r="M72" s="5" t="n">
        <x:v>0</x:v>
      </x:c>
      <x:c r="N72" s="5" t="str">
        <x:v>NORMAL</x:v>
      </x:c>
      <x:c r="O72" s="11" t="str">
        <x:f>LEFT(B72,7)</x:f>
        <x:v>2026-05</x:v>
      </x:c>
    </x:row>
    <x:row r="73">
      <x:c r="A73" s="5" t="str">
        <x:v>OP00072</x:v>
      </x:c>
      <x:c r="B73" s="5" t="str">
        <x:v>2026-05-23 20:00:00</x:v>
      </x:c>
      <x:c r="C73" s="5" t="str">
        <x:v>S004</x:v>
      </x:c>
      <x:c r="D73" s="5" t="str">
        <x:v>A012</x:v>
      </x:c>
      <x:c r="E73" s="5" t="str">
        <x:v>NIGHT</x:v>
      </x:c>
      <x:c r="F73" s="9" t="n">
        <x:v>283.56</x:v>
      </x:c>
      <x:c r="G73" s="9" t="n">
        <x:v>357097.14</x:v>
      </x:c>
      <x:c r="H73" s="9" t="n">
        <x:v>0.578</x:v>
      </x:c>
      <x:c r="I73" s="9" t="n">
        <x:v>96.59</x:v>
      </x:c>
      <x:c r="J73" s="9" t="n">
        <x:v>0.14</x:v>
      </x:c>
      <x:c r="K73" s="5" t="str">
        <x:v>NONE</x:v>
      </x:c>
      <x:c r="L73" s="10" t="n">
        <x:v>0</x:v>
      </x:c>
      <x:c r="M73" s="5" t="n">
        <x:v>0</x:v>
      </x:c>
      <x:c r="N73" s="5" t="str">
        <x:v>NORMAL</x:v>
      </x:c>
      <x:c r="O73" s="11" t="str">
        <x:f>LEFT(B73,7)</x:f>
        <x:v>2026-05</x:v>
      </x:c>
    </x:row>
    <x:row r="74">
      <x:c r="A74" s="5" t="str">
        <x:v>OP00073</x:v>
      </x:c>
      <x:c r="B74" s="5" t="str">
        <x:v>2026-05-25 00:00:00</x:v>
      </x:c>
      <x:c r="C74" s="5" t="str">
        <x:v>S001</x:v>
      </x:c>
      <x:c r="D74" s="5" t="str">
        <x:v>A001</x:v>
      </x:c>
      <x:c r="E74" s="5" t="str">
        <x:v>NIGHT</x:v>
      </x:c>
      <x:c r="F74" s="9" t="n">
        <x:v>398.68</x:v>
      </x:c>
      <x:c r="G74" s="9" t="n">
        <x:v>535645.46</x:v>
      </x:c>
      <x:c r="H74" s="9" t="n">
        <x:v>0.451</x:v>
      </x:c>
      <x:c r="I74" s="9" t="n">
        <x:v>96.53</x:v>
      </x:c>
      <x:c r="J74" s="9" t="n">
        <x:v>0.09</x:v>
      </x:c>
      <x:c r="K74" s="5" t="str">
        <x:v>NONE</x:v>
      </x:c>
      <x:c r="L74" s="10" t="n">
        <x:v>0</x:v>
      </x:c>
      <x:c r="M74" s="5" t="n">
        <x:v>0</x:v>
      </x:c>
      <x:c r="N74" s="5" t="str">
        <x:v>NORMAL</x:v>
      </x:c>
      <x:c r="O74" s="11" t="str">
        <x:f>LEFT(B74,7)</x:f>
        <x:v>2026-05</x:v>
      </x:c>
    </x:row>
    <x:row r="75">
      <x:c r="A75" s="5" t="str">
        <x:v>OP00074</x:v>
      </x:c>
      <x:c r="B75" s="5" t="str">
        <x:v>2026-05-27 04:00:00</x:v>
      </x:c>
      <x:c r="C75" s="5" t="str">
        <x:v>S002</x:v>
      </x:c>
      <x:c r="D75" s="5" t="str">
        <x:v>A004</x:v>
      </x:c>
      <x:c r="E75" s="5" t="str">
        <x:v>NIGHT</x:v>
      </x:c>
      <x:c r="F75" s="9" t="n">
        <x:v>89.14</x:v>
      </x:c>
      <x:c r="G75" s="9" t="n">
        <x:v>113723.99</x:v>
      </x:c>
      <x:c r="H75" s="9" t="n">
        <x:v>0.379</x:v>
      </x:c>
      <x:c r="I75" s="9" t="n">
        <x:v>96.19</x:v>
      </x:c>
      <x:c r="J75" s="9" t="n">
        <x:v>0.17</x:v>
      </x:c>
      <x:c r="K75" s="5" t="str">
        <x:v>NONE</x:v>
      </x:c>
      <x:c r="L75" s="10" t="n">
        <x:v>0</x:v>
      </x:c>
      <x:c r="M75" s="5" t="n">
        <x:v>0</x:v>
      </x:c>
      <x:c r="N75" s="5" t="str">
        <x:v>NORMAL</x:v>
      </x:c>
      <x:c r="O75" s="11" t="str">
        <x:f>LEFT(B75,7)</x:f>
        <x:v>2026-05</x:v>
      </x:c>
    </x:row>
    <x:row r="76">
      <x:c r="A76" s="5" t="str">
        <x:v>OP00075</x:v>
      </x:c>
      <x:c r="B76" s="5" t="str">
        <x:v>2026-05-29 08:00:00</x:v>
      </x:c>
      <x:c r="C76" s="5" t="str">
        <x:v>S003</x:v>
      </x:c>
      <x:c r="D76" s="5" t="str">
        <x:v>A007</x:v>
      </x:c>
      <x:c r="E76" s="5" t="str">
        <x:v>DAY</x:v>
      </x:c>
      <x:c r="F76" s="9" t="n">
        <x:v>491.31</x:v>
      </x:c>
      <x:c r="G76" s="9" t="n">
        <x:v>631190.55</x:v>
      </x:c>
      <x:c r="H76" s="9" t="n">
        <x:v>0.365</x:v>
      </x:c>
      <x:c r="I76" s="9" t="n">
        <x:v>97.74</x:v>
      </x:c>
      <x:c r="J76" s="9" t="n">
        <x:v>0.21</x:v>
      </x:c>
      <x:c r="K76" s="5" t="str">
        <x:v>NONE</x:v>
      </x:c>
      <x:c r="L76" s="10" t="n">
        <x:v>0</x:v>
      </x:c>
      <x:c r="M76" s="5" t="n">
        <x:v>0</x:v>
      </x:c>
      <x:c r="N76" s="5" t="str">
        <x:v>NORMAL</x:v>
      </x:c>
      <x:c r="O76" s="11" t="str">
        <x:f>LEFT(B76,7)</x:f>
        <x:v>2026-05</x:v>
      </x:c>
    </x:row>
    <x:row r="77">
      <x:c r="A77" s="5" t="str">
        <x:v>OP00076</x:v>
      </x:c>
      <x:c r="B77" s="5" t="str">
        <x:v>2026-05-31 12:00:00</x:v>
      </x:c>
      <x:c r="C77" s="5" t="str">
        <x:v>S004</x:v>
      </x:c>
      <x:c r="D77" s="5" t="str">
        <x:v>A010</x:v>
      </x:c>
      <x:c r="E77" s="5" t="str">
        <x:v>DAY</x:v>
      </x:c>
      <x:c r="F77" s="9" t="n">
        <x:v>248.08</x:v>
      </x:c>
      <x:c r="G77" s="9" t="n">
        <x:v>342819.66</x:v>
      </x:c>
      <x:c r="H77" s="9" t="n">
        <x:v>0.506</x:v>
      </x:c>
      <x:c r="I77" s="9" t="n">
        <x:v>97.41</x:v>
      </x:c>
      <x:c r="J77" s="9" t="n">
        <x:v>0.12</x:v>
      </x:c>
      <x:c r="K77" s="5" t="str">
        <x:v>NONE</x:v>
      </x:c>
      <x:c r="L77" s="10" t="n">
        <x:v>0</x:v>
      </x:c>
      <x:c r="M77" s="5" t="n">
        <x:v>0</x:v>
      </x:c>
      <x:c r="N77" s="5" t="str">
        <x:v>NORMAL</x:v>
      </x:c>
      <x:c r="O77" s="11" t="str">
        <x:f>LEFT(B77,7)</x:f>
        <x:v>2026-05</x:v>
      </x:c>
    </x:row>
    <x:row r="78">
      <x:c r="A78" s="5" t="str">
        <x:v>OP00077</x:v>
      </x:c>
      <x:c r="B78" s="5" t="str">
        <x:v>2026-06-02 16:00:00</x:v>
      </x:c>
      <x:c r="C78" s="5" t="str">
        <x:v>S001</x:v>
      </x:c>
      <x:c r="D78" s="5" t="str">
        <x:v>A002</x:v>
      </x:c>
      <x:c r="E78" s="5" t="str">
        <x:v>DAY</x:v>
      </x:c>
      <x:c r="F78" s="9" t="n">
        <x:v>472.53</x:v>
      </x:c>
      <x:c r="G78" s="9" t="n">
        <x:v>628657.47</x:v>
      </x:c>
      <x:c r="H78" s="9" t="n">
        <x:v>0.149</x:v>
      </x:c>
      <x:c r="I78" s="9" t="n">
        <x:v>97.87</x:v>
      </x:c>
      <x:c r="J78" s="9" t="n">
        <x:v>0.1</x:v>
      </x:c>
      <x:c r="K78" s="5" t="str">
        <x:v>NONE</x:v>
      </x:c>
      <x:c r="L78" s="10" t="n">
        <x:v>0</x:v>
      </x:c>
      <x:c r="M78" s="5" t="n">
        <x:v>0</x:v>
      </x:c>
      <x:c r="N78" s="5" t="str">
        <x:v>NORMAL</x:v>
      </x:c>
      <x:c r="O78" s="11" t="str">
        <x:f>LEFT(B78,7)</x:f>
        <x:v>2026-06</x:v>
      </x:c>
    </x:row>
    <x:row r="79">
      <x:c r="A79" s="5" t="str">
        <x:v>OP00078</x:v>
      </x:c>
      <x:c r="B79" s="5" t="str">
        <x:v>2026-06-04 20:00:00</x:v>
      </x:c>
      <x:c r="C79" s="5" t="str">
        <x:v>S002</x:v>
      </x:c>
      <x:c r="D79" s="5" t="str">
        <x:v>A005</x:v>
      </x:c>
      <x:c r="E79" s="5" t="str">
        <x:v>NIGHT</x:v>
      </x:c>
      <x:c r="F79" s="9" t="n">
        <x:v>84.54</x:v>
      </x:c>
      <x:c r="G79" s="9" t="n">
        <x:v>107809.83</x:v>
      </x:c>
      <x:c r="H79" s="9" t="n">
        <x:v>0.25</x:v>
      </x:c>
      <x:c r="I79" s="9" t="n">
        <x:v>96.53</x:v>
      </x:c>
      <x:c r="J79" s="9" t="n">
        <x:v>0.7</x:v>
      </x:c>
      <x:c r="K79" s="5" t="str">
        <x:v>INSPECTION</x:v>
      </x:c>
      <x:c r="L79" s="10" t="n">
        <x:v>3258</x:v>
      </x:c>
      <x:c r="M79" s="5" t="n">
        <x:v>0</x:v>
      </x:c>
      <x:c r="N79" s="5" t="str">
        <x:v>NORMAL</x:v>
      </x:c>
      <x:c r="O79" s="11" t="str">
        <x:f>LEFT(B79,7)</x:f>
        <x:v>2026-06</x:v>
      </x:c>
    </x:row>
    <x:row r="80">
      <x:c r="A80" s="5" t="str">
        <x:v>OP00079</x:v>
      </x:c>
      <x:c r="B80" s="5" t="str">
        <x:v>2026-06-06 00:00:00</x:v>
      </x:c>
      <x:c r="C80" s="5" t="str">
        <x:v>S003</x:v>
      </x:c>
      <x:c r="D80" s="5" t="str">
        <x:v>A008</x:v>
      </x:c>
      <x:c r="E80" s="5" t="str">
        <x:v>NIGHT</x:v>
      </x:c>
      <x:c r="F80" s="9" t="n">
        <x:v>625.53</x:v>
      </x:c>
      <x:c r="G80" s="9" t="n">
        <x:v>796507.64</x:v>
      </x:c>
      <x:c r="H80" s="9" t="n">
        <x:v>0.231</x:v>
      </x:c>
      <x:c r="I80" s="9" t="n">
        <x:v>98.32</x:v>
      </x:c>
      <x:c r="J80" s="9" t="n">
        <x:v>0.22</x:v>
      </x:c>
      <x:c r="K80" s="5" t="str">
        <x:v>NONE</x:v>
      </x:c>
      <x:c r="L80" s="10" t="n">
        <x:v>0</x:v>
      </x:c>
      <x:c r="M80" s="5" t="n">
        <x:v>0</x:v>
      </x:c>
      <x:c r="N80" s="5" t="str">
        <x:v>NORMAL</x:v>
      </x:c>
      <x:c r="O80" s="11" t="str">
        <x:f>LEFT(B80,7)</x:f>
        <x:v>2026-06</x:v>
      </x:c>
    </x:row>
    <x:row r="81">
      <x:c r="A81" s="5" t="str">
        <x:v>OP00080</x:v>
      </x:c>
      <x:c r="B81" s="5" t="str">
        <x:v>2026-06-08 04:00:00</x:v>
      </x:c>
      <x:c r="C81" s="5" t="str">
        <x:v>S004</x:v>
      </x:c>
      <x:c r="D81" s="5" t="str">
        <x:v>A011</x:v>
      </x:c>
      <x:c r="E81" s="5" t="str">
        <x:v>NIGHT</x:v>
      </x:c>
      <x:c r="F81" s="9" t="n">
        <x:v>228.52</x:v>
      </x:c>
      <x:c r="G81" s="9" t="n">
        <x:v>316728.23</x:v>
      </x:c>
      <x:c r="H81" s="9" t="n">
        <x:v>0.589</x:v>
      </x:c>
      <x:c r="I81" s="9" t="n">
        <x:v>98.61</x:v>
      </x:c>
      <x:c r="J81" s="9" t="n">
        <x:v>0.09</x:v>
      </x:c>
      <x:c r="K81" s="5" t="str">
        <x:v>NONE</x:v>
      </x:c>
      <x:c r="L81" s="10" t="n">
        <x:v>0</x:v>
      </x:c>
      <x:c r="M81" s="5" t="n">
        <x:v>0</x:v>
      </x:c>
      <x:c r="N81" s="5" t="str">
        <x:v>NORMAL</x:v>
      </x:c>
      <x:c r="O81" s="11" t="str">
        <x:f>LEFT(B81,7)</x:f>
        <x:v>2026-06</x:v>
      </x:c>
    </x:row>
    <x:row r="82">
      <x:c r="A82" s="5" t="str">
        <x:v>OP00081</x:v>
      </x:c>
      <x:c r="B82" s="5" t="str">
        <x:v>2026-06-10 08:00:00</x:v>
      </x:c>
      <x:c r="C82" s="5" t="str">
        <x:v>S001</x:v>
      </x:c>
      <x:c r="D82" s="5" t="str">
        <x:v>A003</x:v>
      </x:c>
      <x:c r="E82" s="5" t="str">
        <x:v>DAY</x:v>
      </x:c>
      <x:c r="F82" s="9" t="n">
        <x:v>394.03</x:v>
      </x:c>
      <x:c r="G82" s="9" t="n">
        <x:v>526754.45</x:v>
      </x:c>
      <x:c r="H82" s="9" t="n">
        <x:v>0.513</x:v>
      </x:c>
      <x:c r="I82" s="9" t="n">
        <x:v>98.07</x:v>
      </x:c>
      <x:c r="J82" s="9" t="n">
        <x:v>0.03</x:v>
      </x:c>
      <x:c r="K82" s="5" t="str">
        <x:v>NONE</x:v>
      </x:c>
      <x:c r="L82" s="10" t="n">
        <x:v>0</x:v>
      </x:c>
      <x:c r="M82" s="5" t="n">
        <x:v>0</x:v>
      </x:c>
      <x:c r="N82" s="5" t="str">
        <x:v>NORMAL</x:v>
      </x:c>
      <x:c r="O82" s="11" t="str">
        <x:f>LEFT(B82,7)</x:f>
        <x:v>2026-06</x:v>
      </x:c>
    </x:row>
    <x:row r="83">
      <x:c r="A83" s="5" t="str">
        <x:v>OP00082</x:v>
      </x:c>
      <x:c r="B83" s="5" t="str">
        <x:v>2026-06-12 12:00:00</x:v>
      </x:c>
      <x:c r="C83" s="5" t="str">
        <x:v>S002</x:v>
      </x:c>
      <x:c r="D83" s="5" t="str">
        <x:v>A006</x:v>
      </x:c>
      <x:c r="E83" s="5" t="str">
        <x:v>DAY</x:v>
      </x:c>
      <x:c r="F83" s="9" t="n">
        <x:v>91</x:v>
      </x:c>
      <x:c r="G83" s="9" t="n">
        <x:v>118627.01</x:v>
      </x:c>
      <x:c r="H83" s="9" t="n">
        <x:v>0.36</x:v>
      </x:c>
      <x:c r="I83" s="9" t="n">
        <x:v>98.27</x:v>
      </x:c>
      <x:c r="J83" s="9" t="n">
        <x:v>0.16</x:v>
      </x:c>
      <x:c r="K83" s="5" t="str">
        <x:v>NONE</x:v>
      </x:c>
      <x:c r="L83" s="10" t="n">
        <x:v>0</x:v>
      </x:c>
      <x:c r="M83" s="5" t="n">
        <x:v>0</x:v>
      </x:c>
      <x:c r="N83" s="5" t="str">
        <x:v>NORMAL</x:v>
      </x:c>
      <x:c r="O83" s="11" t="str">
        <x:f>LEFT(B83,7)</x:f>
        <x:v>2026-06</x:v>
      </x:c>
    </x:row>
    <x:row r="84">
      <x:c r="A84" s="5" t="str">
        <x:v>OP00083</x:v>
      </x:c>
      <x:c r="B84" s="5" t="str">
        <x:v>2026-06-14 16:00:00</x:v>
      </x:c>
      <x:c r="C84" s="5" t="str">
        <x:v>S003</x:v>
      </x:c>
      <x:c r="D84" s="5" t="str">
        <x:v>A009</x:v>
      </x:c>
      <x:c r="E84" s="5" t="str">
        <x:v>DAY</x:v>
      </x:c>
      <x:c r="F84" s="9" t="n">
        <x:v>668.01</x:v>
      </x:c>
      <x:c r="G84" s="9" t="n">
        <x:v>850130.38</x:v>
      </x:c>
      <x:c r="H84" s="9" t="n">
        <x:v>0.166</x:v>
      </x:c>
      <x:c r="I84" s="9" t="n">
        <x:v>98.04</x:v>
      </x:c>
      <x:c r="J84" s="9" t="n">
        <x:v>0.2</x:v>
      </x:c>
      <x:c r="K84" s="5" t="str">
        <x:v>NONE</x:v>
      </x:c>
      <x:c r="L84" s="10" t="n">
        <x:v>0</x:v>
      </x:c>
      <x:c r="M84" s="5" t="n">
        <x:v>0</x:v>
      </x:c>
      <x:c r="N84" s="5" t="str">
        <x:v>NORMAL</x:v>
      </x:c>
      <x:c r="O84" s="11" t="str">
        <x:f>LEFT(B84,7)</x:f>
        <x:v>2026-06</x:v>
      </x:c>
    </x:row>
    <x:row r="85">
      <x:c r="A85" s="5" t="str">
        <x:v>OP00084</x:v>
      </x:c>
      <x:c r="B85" s="5" t="str">
        <x:v>2026-06-16 20:00:00</x:v>
      </x:c>
      <x:c r="C85" s="5" t="str">
        <x:v>S004</x:v>
      </x:c>
      <x:c r="D85" s="5" t="str">
        <x:v>A012</x:v>
      </x:c>
      <x:c r="E85" s="5" t="str">
        <x:v>NIGHT</x:v>
      </x:c>
      <x:c r="F85" s="9" t="n">
        <x:v>217.49</x:v>
      </x:c>
      <x:c r="G85" s="9" t="n">
        <x:v>296241.59</x:v>
      </x:c>
      <x:c r="H85" s="9" t="n">
        <x:v>0.227</x:v>
      </x:c>
      <x:c r="I85" s="9" t="n">
        <x:v>97.92</x:v>
      </x:c>
      <x:c r="J85" s="9" t="n">
        <x:v>0.15</x:v>
      </x:c>
      <x:c r="K85" s="5" t="str">
        <x:v>NONE</x:v>
      </x:c>
      <x:c r="L85" s="10" t="n">
        <x:v>0</x:v>
      </x:c>
      <x:c r="M85" s="5" t="n">
        <x:v>0</x:v>
      </x:c>
      <x:c r="N85" s="5" t="str">
        <x:v>NORMAL</x:v>
      </x:c>
      <x:c r="O85" s="11" t="str">
        <x:f>LEFT(B85,7)</x:f>
        <x:v>2026-06</x:v>
      </x:c>
    </x:row>
    <x:row r="86">
      <x:c r="A86" s="5" t="str">
        <x:v>OP00085</x:v>
      </x:c>
      <x:c r="B86" s="5" t="str">
        <x:v>2026-06-18 00:00:00</x:v>
      </x:c>
      <x:c r="C86" s="5" t="str">
        <x:v>S001</x:v>
      </x:c>
      <x:c r="D86" s="5" t="str">
        <x:v>A001</x:v>
      </x:c>
      <x:c r="E86" s="5" t="str">
        <x:v>NIGHT</x:v>
      </x:c>
      <x:c r="F86" s="9" t="n">
        <x:v>390.03</x:v>
      </x:c>
      <x:c r="G86" s="9" t="n">
        <x:v>518718.08</x:v>
      </x:c>
      <x:c r="H86" s="9" t="n">
        <x:v>0.395</x:v>
      </x:c>
      <x:c r="I86" s="9" t="n">
        <x:v>98.49</x:v>
      </x:c>
      <x:c r="J86" s="9" t="n">
        <x:v>1.53</x:v>
      </x:c>
      <x:c r="K86" s="5" t="str">
        <x:v>PREVENTIVE</x:v>
      </x:c>
      <x:c r="L86" s="10" t="n">
        <x:v>13698.9</x:v>
      </x:c>
      <x:c r="M86" s="5" t="n">
        <x:v>0</x:v>
      </x:c>
      <x:c r="N86" s="5" t="str">
        <x:v>NORMAL</x:v>
      </x:c>
      <x:c r="O86" s="11" t="str">
        <x:f>LEFT(B86,7)</x:f>
        <x:v>2026-06</x:v>
      </x:c>
    </x:row>
    <x:row r="87">
      <x:c r="A87" s="5" t="str">
        <x:v>OP00086</x:v>
      </x:c>
      <x:c r="B87" s="5" t="str">
        <x:v>2026-06-20 04:00:00</x:v>
      </x:c>
      <x:c r="C87" s="5" t="str">
        <x:v>S002</x:v>
      </x:c>
      <x:c r="D87" s="5" t="str">
        <x:v>A004</x:v>
      </x:c>
      <x:c r="E87" s="5" t="str">
        <x:v>NIGHT</x:v>
      </x:c>
      <x:c r="F87" s="9" t="n">
        <x:v>106.57</x:v>
      </x:c>
      <x:c r="G87" s="9" t="n">
        <x:v>140468.21</x:v>
      </x:c>
      <x:c r="H87" s="9" t="n">
        <x:v>0.2</x:v>
      </x:c>
      <x:c r="I87" s="9" t="n">
        <x:v>95.81</x:v>
      </x:c>
      <x:c r="J87" s="9" t="n">
        <x:v>0.19</x:v>
      </x:c>
      <x:c r="K87" s="5" t="str">
        <x:v>NONE</x:v>
      </x:c>
      <x:c r="L87" s="10" t="n">
        <x:v>0</x:v>
      </x:c>
      <x:c r="M87" s="5" t="n">
        <x:v>0</x:v>
      </x:c>
      <x:c r="N87" s="5" t="str">
        <x:v>NORMAL</x:v>
      </x:c>
      <x:c r="O87" s="11" t="str">
        <x:f>LEFT(B87,7)</x:f>
        <x:v>2026-06</x:v>
      </x:c>
    </x:row>
    <x:row r="88">
      <x:c r="A88" s="5" t="str">
        <x:v>OP00087</x:v>
      </x:c>
      <x:c r="B88" s="5" t="str">
        <x:v>2026-06-22 08:00:00</x:v>
      </x:c>
      <x:c r="C88" s="5" t="str">
        <x:v>S003</x:v>
      </x:c>
      <x:c r="D88" s="5" t="str">
        <x:v>A007</x:v>
      </x:c>
      <x:c r="E88" s="5" t="str">
        <x:v>DAY</x:v>
      </x:c>
      <x:c r="F88" s="9" t="n">
        <x:v>544.47</x:v>
      </x:c>
      <x:c r="G88" s="9" t="n">
        <x:v>759315.11</x:v>
      </x:c>
      <x:c r="H88" s="9" t="n">
        <x:v>0.663</x:v>
      </x:c>
      <x:c r="I88" s="9" t="n">
        <x:v>98.31</x:v>
      </x:c>
      <x:c r="J88" s="9" t="n">
        <x:v>0.12</x:v>
      </x:c>
      <x:c r="K88" s="5" t="str">
        <x:v>NONE</x:v>
      </x:c>
      <x:c r="L88" s="10" t="n">
        <x:v>0</x:v>
      </x:c>
      <x:c r="M88" s="5" t="n">
        <x:v>0</x:v>
      </x:c>
      <x:c r="N88" s="5" t="str">
        <x:v>NORMAL</x:v>
      </x:c>
      <x:c r="O88" s="11" t="str">
        <x:f>LEFT(B88,7)</x:f>
        <x:v>2026-06</x:v>
      </x:c>
    </x:row>
    <x:row r="89">
      <x:c r="A89" s="5" t="str">
        <x:v>OP00088</x:v>
      </x:c>
      <x:c r="B89" s="5" t="str">
        <x:v>2026-06-24 12:00:00</x:v>
      </x:c>
      <x:c r="C89" s="5" t="str">
        <x:v>S004</x:v>
      </x:c>
      <x:c r="D89" s="5" t="str">
        <x:v>A010</x:v>
      </x:c>
      <x:c r="E89" s="5" t="str">
        <x:v>DAY</x:v>
      </x:c>
      <x:c r="F89" s="9" t="n">
        <x:v>240.05</x:v>
      </x:c>
      <x:c r="G89" s="9" t="n">
        <x:v>333622.75</x:v>
      </x:c>
      <x:c r="H89" s="9" t="n">
        <x:v>0.663</x:v>
      </x:c>
      <x:c r="I89" s="9" t="n">
        <x:v>95.99</x:v>
      </x:c>
      <x:c r="J89" s="9" t="n">
        <x:v>5.62</x:v>
      </x:c>
      <x:c r="K89" s="5" t="str">
        <x:v>CORRECTIVE</x:v>
      </x:c>
      <x:c r="L89" s="10" t="n">
        <x:v>37216.15</x:v>
      </x:c>
      <x:c r="M89" s="5" t="n">
        <x:v>0</x:v>
      </x:c>
      <x:c r="N89" s="5" t="str">
        <x:v>WATCH</x:v>
      </x:c>
      <x:c r="O89" s="11" t="str">
        <x:f>LEFT(B89,7)</x:f>
        <x:v>2026-06</x:v>
      </x:c>
    </x:row>
    <x:row r="90">
      <x:c r="A90" s="5" t="str">
        <x:v>OP00089</x:v>
      </x:c>
      <x:c r="B90" s="5" t="str">
        <x:v>2026-06-26 16:00:00</x:v>
      </x:c>
      <x:c r="C90" s="5" t="str">
        <x:v>S001</x:v>
      </x:c>
      <x:c r="D90" s="5" t="str">
        <x:v>A002</x:v>
      </x:c>
      <x:c r="E90" s="5" t="str">
        <x:v>DAY</x:v>
      </x:c>
      <x:c r="F90" s="9" t="n">
        <x:v>474.66</x:v>
      </x:c>
      <x:c r="G90" s="9" t="n">
        <x:v>643105.63</x:v>
      </x:c>
      <x:c r="H90" s="9" t="n">
        <x:v>0.328</x:v>
      </x:c>
      <x:c r="I90" s="9" t="n">
        <x:v>97.04</x:v>
      </x:c>
      <x:c r="J90" s="9" t="n">
        <x:v>0.56</x:v>
      </x:c>
      <x:c r="K90" s="5" t="str">
        <x:v>INSPECTION</x:v>
      </x:c>
      <x:c r="L90" s="10" t="n">
        <x:v>3892.25</x:v>
      </x:c>
      <x:c r="M90" s="5" t="n">
        <x:v>0</x:v>
      </x:c>
      <x:c r="N90" s="5" t="str">
        <x:v>NORMAL</x:v>
      </x:c>
      <x:c r="O90" s="11" t="str">
        <x:f>LEFT(B90,7)</x:f>
        <x:v>2026-06</x:v>
      </x:c>
    </x:row>
    <x:row r="91">
      <x:c r="A91" s="5" t="str">
        <x:v>OP00090</x:v>
      </x:c>
      <x:c r="B91" s="5" t="str">
        <x:v>2026-06-28 20:00:00</x:v>
      </x:c>
      <x:c r="C91" s="5" t="str">
        <x:v>S002</x:v>
      </x:c>
      <x:c r="D91" s="5" t="str">
        <x:v>A005</x:v>
      </x:c>
      <x:c r="E91" s="5" t="str">
        <x:v>NIGHT</x:v>
      </x:c>
      <x:c r="F91" s="9" t="n">
        <x:v>112.46</x:v>
      </x:c>
      <x:c r="G91" s="9" t="n">
        <x:v>145679.63</x:v>
      </x:c>
      <x:c r="H91" s="9" t="n">
        <x:v>0.418</x:v>
      </x:c>
      <x:c r="I91" s="9" t="n">
        <x:v>97.68</x:v>
      </x:c>
      <x:c r="J91" s="9" t="n">
        <x:v>0.22</x:v>
      </x:c>
      <x:c r="K91" s="5" t="str">
        <x:v>NONE</x:v>
      </x:c>
      <x:c r="L91" s="10" t="n">
        <x:v>0</x:v>
      </x:c>
      <x:c r="M91" s="5" t="n">
        <x:v>0</x:v>
      </x:c>
      <x:c r="N91" s="5" t="str">
        <x:v>NORMAL</x:v>
      </x:c>
      <x:c r="O91" s="11" t="str">
        <x:f>LEFT(B91,7)</x:f>
        <x:v>2026-06</x:v>
      </x:c>
    </x:row>
    <x:row r="92">
      <x:c r="A92" s="5" t="str">
        <x:v>OP00091</x:v>
      </x:c>
      <x:c r="B92" s="5" t="str">
        <x:v>2026-01-01 00:00:00</x:v>
      </x:c>
      <x:c r="C92" s="5" t="str">
        <x:v>S003</x:v>
      </x:c>
      <x:c r="D92" s="5" t="str">
        <x:v>A008</x:v>
      </x:c>
      <x:c r="E92" s="5" t="str">
        <x:v>NIGHT</x:v>
      </x:c>
      <x:c r="F92" s="9" t="n">
        <x:v>597.73</x:v>
      </x:c>
      <x:c r="G92" s="9" t="n">
        <x:v>819447.25</x:v>
      </x:c>
      <x:c r="H92" s="9" t="n">
        <x:v>0.241</x:v>
      </x:c>
      <x:c r="I92" s="9" t="n">
        <x:v>97.57</x:v>
      </x:c>
      <x:c r="J92" s="9" t="n">
        <x:v>0.01</x:v>
      </x:c>
      <x:c r="K92" s="5" t="str">
        <x:v>NONE</x:v>
      </x:c>
      <x:c r="L92" s="10" t="n">
        <x:v>0</x:v>
      </x:c>
      <x:c r="M92" s="5" t="n">
        <x:v>0</x:v>
      </x:c>
      <x:c r="N92" s="5" t="str">
        <x:v>NORMAL</x:v>
      </x:c>
      <x:c r="O92" s="11" t="str">
        <x:f>LEFT(B92,7)</x:f>
        <x:v>2026-01</x:v>
      </x:c>
    </x:row>
    <x:row r="93">
      <x:c r="A93" s="5" t="str">
        <x:v>OP00092</x:v>
      </x:c>
      <x:c r="B93" s="5" t="str">
        <x:v>2026-01-03 04:00:00</x:v>
      </x:c>
      <x:c r="C93" s="5" t="str">
        <x:v>S004</x:v>
      </x:c>
      <x:c r="D93" s="5" t="str">
        <x:v>A011</x:v>
      </x:c>
      <x:c r="E93" s="5" t="str">
        <x:v>NIGHT</x:v>
      </x:c>
      <x:c r="F93" s="9" t="n">
        <x:v>230.11</x:v>
      </x:c>
      <x:c r="G93" s="9" t="n">
        <x:v>293632.53</x:v>
      </x:c>
      <x:c r="H93" s="9" t="n">
        <x:v>0.189</x:v>
      </x:c>
      <x:c r="I93" s="9" t="n">
        <x:v>97.48</x:v>
      </x:c>
      <x:c r="J93" s="9" t="n">
        <x:v>1.87</x:v>
      </x:c>
      <x:c r="K93" s="5" t="str">
        <x:v>PREVENTIVE</x:v>
      </x:c>
      <x:c r="L93" s="10" t="n">
        <x:v>9442.41</x:v>
      </x:c>
      <x:c r="M93" s="5" t="n">
        <x:v>0</x:v>
      </x:c>
      <x:c r="N93" s="5" t="str">
        <x:v>NORMAL</x:v>
      </x:c>
      <x:c r="O93" s="11" t="str">
        <x:f>LEFT(B93,7)</x:f>
        <x:v>2026-01</x:v>
      </x:c>
    </x:row>
    <x:row r="94">
      <x:c r="A94" s="5" t="str">
        <x:v>OP00093</x:v>
      </x:c>
      <x:c r="B94" s="5" t="str">
        <x:v>2026-01-05 08:00:00</x:v>
      </x:c>
      <x:c r="C94" s="5" t="str">
        <x:v>S001</x:v>
      </x:c>
      <x:c r="D94" s="5" t="str">
        <x:v>A003</x:v>
      </x:c>
      <x:c r="E94" s="5" t="str">
        <x:v>DAY</x:v>
      </x:c>
      <x:c r="F94" s="9" t="n">
        <x:v>373.08</x:v>
      </x:c>
      <x:c r="G94" s="9" t="n">
        <x:v>477603.47</x:v>
      </x:c>
      <x:c r="H94" s="9" t="n">
        <x:v>0.632</x:v>
      </x:c>
      <x:c r="I94" s="9" t="n">
        <x:v>96.83</x:v>
      </x:c>
      <x:c r="J94" s="9" t="n">
        <x:v>0.14</x:v>
      </x:c>
      <x:c r="K94" s="5" t="str">
        <x:v>NONE</x:v>
      </x:c>
      <x:c r="L94" s="10" t="n">
        <x:v>0</x:v>
      </x:c>
      <x:c r="M94" s="5" t="n">
        <x:v>0</x:v>
      </x:c>
      <x:c r="N94" s="5" t="str">
        <x:v>NORMAL</x:v>
      </x:c>
      <x:c r="O94" s="11" t="str">
        <x:f>LEFT(B94,7)</x:f>
        <x:v>2026-01</x:v>
      </x:c>
    </x:row>
    <x:row r="95">
      <x:c r="A95" s="5" t="str">
        <x:v>OP00094</x:v>
      </x:c>
      <x:c r="B95" s="5" t="str">
        <x:v>2026-01-07 12:00:00</x:v>
      </x:c>
      <x:c r="C95" s="5" t="str">
        <x:v>S002</x:v>
      </x:c>
      <x:c r="D95" s="5" t="str">
        <x:v>A006</x:v>
      </x:c>
      <x:c r="E95" s="5" t="str">
        <x:v>DAY</x:v>
      </x:c>
      <x:c r="F95" s="9" t="n">
        <x:v>92.55</x:v>
      </x:c>
      <x:c r="G95" s="9" t="n">
        <x:v>115862.25</x:v>
      </x:c>
      <x:c r="H95" s="9" t="n">
        <x:v>0.167</x:v>
      </x:c>
      <x:c r="I95" s="9" t="n">
        <x:v>95.92</x:v>
      </x:c>
      <x:c r="J95" s="9" t="n">
        <x:v>0.05</x:v>
      </x:c>
      <x:c r="K95" s="5" t="str">
        <x:v>NONE</x:v>
      </x:c>
      <x:c r="L95" s="10" t="n">
        <x:v>0</x:v>
      </x:c>
      <x:c r="M95" s="5" t="n">
        <x:v>0</x:v>
      </x:c>
      <x:c r="N95" s="5" t="str">
        <x:v>NORMAL</x:v>
      </x:c>
      <x:c r="O95" s="11" t="str">
        <x:f>LEFT(B95,7)</x:f>
        <x:v>2026-01</x:v>
      </x:c>
    </x:row>
    <x:row r="96">
      <x:c r="A96" s="5" t="str">
        <x:v>OP00095</x:v>
      </x:c>
      <x:c r="B96" s="5" t="str">
        <x:v>2026-01-09 16:00:00</x:v>
      </x:c>
      <x:c r="C96" s="5" t="str">
        <x:v>S003</x:v>
      </x:c>
      <x:c r="D96" s="5" t="str">
        <x:v>A009</x:v>
      </x:c>
      <x:c r="E96" s="5" t="str">
        <x:v>DAY</x:v>
      </x:c>
      <x:c r="F96" s="9" t="n">
        <x:v>598.34</x:v>
      </x:c>
      <x:c r="G96" s="9" t="n">
        <x:v>755670.48</x:v>
      </x:c>
      <x:c r="H96" s="9" t="n">
        <x:v>0.382</x:v>
      </x:c>
      <x:c r="I96" s="9" t="n">
        <x:v>98.35</x:v>
      </x:c>
      <x:c r="J96" s="9" t="n">
        <x:v>0.09</x:v>
      </x:c>
      <x:c r="K96" s="5" t="str">
        <x:v>NONE</x:v>
      </x:c>
      <x:c r="L96" s="10" t="n">
        <x:v>0</x:v>
      </x:c>
      <x:c r="M96" s="5" t="n">
        <x:v>1</x:v>
      </x:c>
      <x:c r="N96" s="5" t="str">
        <x:v>ALARM</x:v>
      </x:c>
      <x:c r="O96" s="11" t="str">
        <x:f>LEFT(B96,7)</x:f>
        <x:v>2026-01</x:v>
      </x:c>
    </x:row>
    <x:row r="97">
      <x:c r="A97" s="5" t="str">
        <x:v>OP00096</x:v>
      </x:c>
      <x:c r="B97" s="5" t="str">
        <x:v>2026-01-11 20:00:00</x:v>
      </x:c>
      <x:c r="C97" s="5" t="str">
        <x:v>S004</x:v>
      </x:c>
      <x:c r="D97" s="5" t="str">
        <x:v>A012</x:v>
      </x:c>
      <x:c r="E97" s="5" t="str">
        <x:v>NIGHT</x:v>
      </x:c>
      <x:c r="F97" s="9" t="n">
        <x:v>231.87</x:v>
      </x:c>
      <x:c r="G97" s="9" t="n">
        <x:v>313997.43</x:v>
      </x:c>
      <x:c r="H97" s="9" t="n">
        <x:v>0.671</x:v>
      </x:c>
      <x:c r="I97" s="9" t="n">
        <x:v>96.44</x:v>
      </x:c>
      <x:c r="J97" s="9" t="n">
        <x:v>0.03</x:v>
      </x:c>
      <x:c r="K97" s="5" t="str">
        <x:v>NONE</x:v>
      </x:c>
      <x:c r="L97" s="10" t="n">
        <x:v>0</x:v>
      </x:c>
      <x:c r="M97" s="5" t="n">
        <x:v>0</x:v>
      </x:c>
      <x:c r="N97" s="5" t="str">
        <x:v>NORMAL</x:v>
      </x:c>
      <x:c r="O97" s="11" t="str">
        <x:f>LEFT(B97,7)</x:f>
        <x:v>2026-01</x:v>
      </x:c>
    </x:row>
    <x:row r="98">
      <x:c r="A98" s="5" t="str">
        <x:v>OP00097</x:v>
      </x:c>
      <x:c r="B98" s="5" t="str">
        <x:v>2026-01-13 00:00:00</x:v>
      </x:c>
      <x:c r="C98" s="5" t="str">
        <x:v>S001</x:v>
      </x:c>
      <x:c r="D98" s="5" t="str">
        <x:v>A001</x:v>
      </x:c>
      <x:c r="E98" s="5" t="str">
        <x:v>NIGHT</x:v>
      </x:c>
      <x:c r="F98" s="9" t="n">
        <x:v>431.39</x:v>
      </x:c>
      <x:c r="G98" s="9" t="n">
        <x:v>574126.95</x:v>
      </x:c>
      <x:c r="H98" s="9" t="n">
        <x:v>0.531</x:v>
      </x:c>
      <x:c r="I98" s="9" t="n">
        <x:v>97.72</x:v>
      </x:c>
      <x:c r="J98" s="9" t="n">
        <x:v>0.13</x:v>
      </x:c>
      <x:c r="K98" s="5" t="str">
        <x:v>NONE</x:v>
      </x:c>
      <x:c r="L98" s="10" t="n">
        <x:v>0</x:v>
      </x:c>
      <x:c r="M98" s="5" t="n">
        <x:v>0</x:v>
      </x:c>
      <x:c r="N98" s="5" t="str">
        <x:v>NORMAL</x:v>
      </x:c>
      <x:c r="O98" s="11" t="str">
        <x:f>LEFT(B98,7)</x:f>
        <x:v>2026-01</x:v>
      </x:c>
    </x:row>
    <x:row r="99">
      <x:c r="A99" s="5" t="str">
        <x:v>OP00098</x:v>
      </x:c>
      <x:c r="B99" s="5" t="str">
        <x:v>2026-01-15 04:00:00</x:v>
      </x:c>
      <x:c r="C99" s="5" t="str">
        <x:v>S002</x:v>
      </x:c>
      <x:c r="D99" s="5" t="str">
        <x:v>A004</x:v>
      </x:c>
      <x:c r="E99" s="5" t="str">
        <x:v>NIGHT</x:v>
      </x:c>
      <x:c r="F99" s="9" t="n">
        <x:v>93.02</x:v>
      </x:c>
      <x:c r="G99" s="9" t="n">
        <x:v>124220.98</x:v>
      </x:c>
      <x:c r="H99" s="9" t="n">
        <x:v>0.508</x:v>
      </x:c>
      <x:c r="I99" s="9" t="n">
        <x:v>98.46</x:v>
      </x:c>
      <x:c r="J99" s="9" t="n">
        <x:v>0.09</x:v>
      </x:c>
      <x:c r="K99" s="5" t="str">
        <x:v>NONE</x:v>
      </x:c>
      <x:c r="L99" s="10" t="n">
        <x:v>0</x:v>
      </x:c>
      <x:c r="M99" s="5" t="n">
        <x:v>0</x:v>
      </x:c>
      <x:c r="N99" s="5" t="str">
        <x:v>NORMAL</x:v>
      </x:c>
      <x:c r="O99" s="11" t="str">
        <x:f>LEFT(B99,7)</x:f>
        <x:v>2026-01</x:v>
      </x:c>
    </x:row>
    <x:row r="100">
      <x:c r="A100" s="5" t="str">
        <x:v>OP00099</x:v>
      </x:c>
      <x:c r="B100" s="5" t="str">
        <x:v>2026-01-17 08:00:00</x:v>
      </x:c>
      <x:c r="C100" s="5" t="str">
        <x:v>S003</x:v>
      </x:c>
      <x:c r="D100" s="5" t="str">
        <x:v>A007</x:v>
      </x:c>
      <x:c r="E100" s="5" t="str">
        <x:v>DAY</x:v>
      </x:c>
      <x:c r="F100" s="9" t="n">
        <x:v>657.41</x:v>
      </x:c>
      <x:c r="G100" s="9" t="n">
        <x:v>845968.52</x:v>
      </x:c>
      <x:c r="H100" s="9" t="n">
        <x:v>0.343</x:v>
      </x:c>
      <x:c r="I100" s="9" t="n">
        <x:v>98.17</x:v>
      </x:c>
      <x:c r="J100" s="9" t="n">
        <x:v>1.56</x:v>
      </x:c>
      <x:c r="K100" s="5" t="str">
        <x:v>PREVENTIVE</x:v>
      </x:c>
      <x:c r="L100" s="10" t="n">
        <x:v>10926.46</x:v>
      </x:c>
      <x:c r="M100" s="5" t="n">
        <x:v>0</x:v>
      </x:c>
      <x:c r="N100" s="5" t="str">
        <x:v>NORMAL</x:v>
      </x:c>
      <x:c r="O100" s="11" t="str">
        <x:f>LEFT(B100,7)</x:f>
        <x:v>2026-01</x:v>
      </x:c>
    </x:row>
    <x:row r="101">
      <x:c r="A101" s="5" t="str">
        <x:v>OP00100</x:v>
      </x:c>
      <x:c r="B101" s="5" t="str">
        <x:v>2026-01-19 12:00:00</x:v>
      </x:c>
      <x:c r="C101" s="5" t="str">
        <x:v>S004</x:v>
      </x:c>
      <x:c r="D101" s="5" t="str">
        <x:v>A010</x:v>
      </x:c>
      <x:c r="E101" s="5" t="str">
        <x:v>DAY</x:v>
      </x:c>
      <x:c r="F101" s="9" t="n">
        <x:v>241.71</x:v>
      </x:c>
      <x:c r="G101" s="9" t="n">
        <x:v>324885.5</x:v>
      </x:c>
      <x:c r="H101" s="9" t="n">
        <x:v>0.209</x:v>
      </x:c>
      <x:c r="I101" s="9" t="n">
        <x:v>97.2</x:v>
      </x:c>
      <x:c r="J101" s="9" t="n">
        <x:v>0.47</x:v>
      </x:c>
      <x:c r="K101" s="5" t="str">
        <x:v>INSPECTION</x:v>
      </x:c>
      <x:c r="L101" s="10" t="n">
        <x:v>4509.61</x:v>
      </x:c>
      <x:c r="M101" s="5" t="n">
        <x:v>0</x:v>
      </x:c>
      <x:c r="N101" s="5" t="str">
        <x:v>NORMAL</x:v>
      </x:c>
      <x:c r="O101" s="11" t="str">
        <x:f>LEFT(B101,7)</x:f>
        <x:v>2026-01</x:v>
      </x:c>
    </x:row>
    <x:row r="102">
      <x:c r="A102" s="5" t="str">
        <x:v>OP00101</x:v>
      </x:c>
      <x:c r="B102" s="5" t="str">
        <x:v>2026-01-21 16:00:00</x:v>
      </x:c>
      <x:c r="C102" s="5" t="str">
        <x:v>S001</x:v>
      </x:c>
      <x:c r="D102" s="5" t="str">
        <x:v>A002</x:v>
      </x:c>
      <x:c r="E102" s="5" t="str">
        <x:v>DAY</x:v>
      </x:c>
      <x:c r="F102" s="9" t="n">
        <x:v>380.04</x:v>
      </x:c>
      <x:c r="G102" s="9" t="n">
        <x:v>528480.47</x:v>
      </x:c>
      <x:c r="H102" s="9" t="n">
        <x:v>0.528</x:v>
      </x:c>
      <x:c r="I102" s="9" t="n">
        <x:v>98.68</x:v>
      </x:c>
      <x:c r="J102" s="9" t="n">
        <x:v>0.09</x:v>
      </x:c>
      <x:c r="K102" s="5" t="str">
        <x:v>NONE</x:v>
      </x:c>
      <x:c r="L102" s="10" t="n">
        <x:v>0</x:v>
      </x:c>
      <x:c r="M102" s="5" t="n">
        <x:v>0</x:v>
      </x:c>
      <x:c r="N102" s="5" t="str">
        <x:v>NORMAL</x:v>
      </x:c>
      <x:c r="O102" s="11" t="str">
        <x:f>LEFT(B102,7)</x:f>
        <x:v>2026-01</x:v>
      </x:c>
    </x:row>
    <x:row r="103">
      <x:c r="A103" s="5" t="str">
        <x:v>OP00102</x:v>
      </x:c>
      <x:c r="B103" s="5" t="str">
        <x:v>2026-01-23 20:00:00</x:v>
      </x:c>
      <x:c r="C103" s="5" t="str">
        <x:v>S002</x:v>
      </x:c>
      <x:c r="D103" s="5" t="str">
        <x:v>A005</x:v>
      </x:c>
      <x:c r="E103" s="5" t="str">
        <x:v>NIGHT</x:v>
      </x:c>
      <x:c r="F103" s="9" t="n">
        <x:v>97.24</x:v>
      </x:c>
      <x:c r="G103" s="9" t="n">
        <x:v>123876.29</x:v>
      </x:c>
      <x:c r="H103" s="9" t="n">
        <x:v>0.139</x:v>
      </x:c>
      <x:c r="I103" s="9" t="n">
        <x:v>95.93</x:v>
      </x:c>
      <x:c r="J103" s="9" t="n">
        <x:v>0.22</x:v>
      </x:c>
      <x:c r="K103" s="5" t="str">
        <x:v>NONE</x:v>
      </x:c>
      <x:c r="L103" s="10" t="n">
        <x:v>0</x:v>
      </x:c>
      <x:c r="M103" s="5" t="n">
        <x:v>0</x:v>
      </x:c>
      <x:c r="N103" s="5" t="str">
        <x:v>NORMAL</x:v>
      </x:c>
      <x:c r="O103" s="11" t="str">
        <x:f>LEFT(B103,7)</x:f>
        <x:v>2026-01</x:v>
      </x:c>
    </x:row>
    <x:row r="104">
      <x:c r="A104" s="5" t="str">
        <x:v>OP00103</x:v>
      </x:c>
      <x:c r="B104" s="5" t="str">
        <x:v>2026-01-25 00:00:00</x:v>
      </x:c>
      <x:c r="C104" s="5" t="str">
        <x:v>S003</x:v>
      </x:c>
      <x:c r="D104" s="5" t="str">
        <x:v>A008</x:v>
      </x:c>
      <x:c r="E104" s="5" t="str">
        <x:v>NIGHT</x:v>
      </x:c>
      <x:c r="F104" s="9" t="n">
        <x:v>638.19</x:v>
      </x:c>
      <x:c r="G104" s="9" t="n">
        <x:v>839122.55</x:v>
      </x:c>
      <x:c r="H104" s="9" t="n">
        <x:v>0.368</x:v>
      </x:c>
      <x:c r="I104" s="9" t="n">
        <x:v>95.94</x:v>
      </x:c>
      <x:c r="J104" s="9" t="n">
        <x:v>0.14</x:v>
      </x:c>
      <x:c r="K104" s="5" t="str">
        <x:v>NONE</x:v>
      </x:c>
      <x:c r="L104" s="10" t="n">
        <x:v>0</x:v>
      </x:c>
      <x:c r="M104" s="5" t="n">
        <x:v>0</x:v>
      </x:c>
      <x:c r="N104" s="5" t="str">
        <x:v>NORMAL</x:v>
      </x:c>
      <x:c r="O104" s="11" t="str">
        <x:f>LEFT(B104,7)</x:f>
        <x:v>2026-01</x:v>
      </x:c>
    </x:row>
    <x:row r="105">
      <x:c r="A105" s="5" t="str">
        <x:v>OP00104</x:v>
      </x:c>
      <x:c r="B105" s="5" t="str">
        <x:v>2026-01-27 04:00:00</x:v>
      </x:c>
      <x:c r="C105" s="5" t="str">
        <x:v>S004</x:v>
      </x:c>
      <x:c r="D105" s="5" t="str">
        <x:v>A011</x:v>
      </x:c>
      <x:c r="E105" s="5" t="str">
        <x:v>NIGHT</x:v>
      </x:c>
      <x:c r="F105" s="9" t="n">
        <x:v>247.23</x:v>
      </x:c>
      <x:c r="G105" s="9" t="n">
        <x:v>312026.48</x:v>
      </x:c>
      <x:c r="H105" s="9" t="n">
        <x:v>0.66</x:v>
      </x:c>
      <x:c r="I105" s="9" t="n">
        <x:v>96.48</x:v>
      </x:c>
      <x:c r="J105" s="9" t="n">
        <x:v>0.24</x:v>
      </x:c>
      <x:c r="K105" s="5" t="str">
        <x:v>NONE</x:v>
      </x:c>
      <x:c r="L105" s="10" t="n">
        <x:v>0</x:v>
      </x:c>
      <x:c r="M105" s="5" t="n">
        <x:v>0</x:v>
      </x:c>
      <x:c r="N105" s="5" t="str">
        <x:v>NORMAL</x:v>
      </x:c>
      <x:c r="O105" s="11" t="str">
        <x:f>LEFT(B105,7)</x:f>
        <x:v>2026-01</x:v>
      </x:c>
    </x:row>
    <x:row r="106">
      <x:c r="A106" s="5" t="str">
        <x:v>OP00105</x:v>
      </x:c>
      <x:c r="B106" s="5" t="str">
        <x:v>2026-01-29 08:00:00</x:v>
      </x:c>
      <x:c r="C106" s="5" t="str">
        <x:v>S001</x:v>
      </x:c>
      <x:c r="D106" s="5" t="str">
        <x:v>A003</x:v>
      </x:c>
      <x:c r="E106" s="5" t="str">
        <x:v>DAY</x:v>
      </x:c>
      <x:c r="F106" s="9" t="n">
        <x:v>393.49</x:v>
      </x:c>
      <x:c r="G106" s="9" t="n">
        <x:v>543960.76</x:v>
      </x:c>
      <x:c r="H106" s="9" t="n">
        <x:v>0.525</x:v>
      </x:c>
      <x:c r="I106" s="9" t="n">
        <x:v>97.84</x:v>
      </x:c>
      <x:c r="J106" s="9" t="n">
        <x:v>0.21</x:v>
      </x:c>
      <x:c r="K106" s="5" t="str">
        <x:v>NONE</x:v>
      </x:c>
      <x:c r="L106" s="10" t="n">
        <x:v>0</x:v>
      </x:c>
      <x:c r="M106" s="5" t="n">
        <x:v>0</x:v>
      </x:c>
      <x:c r="N106" s="5" t="str">
        <x:v>NORMAL</x:v>
      </x:c>
      <x:c r="O106" s="11" t="str">
        <x:f>LEFT(B106,7)</x:f>
        <x:v>2026-01</x:v>
      </x:c>
    </x:row>
    <x:row r="107">
      <x:c r="A107" s="5" t="str">
        <x:v>OP00106</x:v>
      </x:c>
      <x:c r="B107" s="5" t="str">
        <x:v>2026-01-31 12:00:00</x:v>
      </x:c>
      <x:c r="C107" s="5" t="str">
        <x:v>S002</x:v>
      </x:c>
      <x:c r="D107" s="5" t="str">
        <x:v>A006</x:v>
      </x:c>
      <x:c r="E107" s="5" t="str">
        <x:v>DAY</x:v>
      </x:c>
      <x:c r="F107" s="9" t="n">
        <x:v>109</x:v>
      </x:c>
      <x:c r="G107" s="9" t="n">
        <x:v>146387.04</x:v>
      </x:c>
      <x:c r="H107" s="9" t="n">
        <x:v>0.416</x:v>
      </x:c>
      <x:c r="I107" s="9" t="n">
        <x:v>97.82</x:v>
      </x:c>
      <x:c r="J107" s="9" t="n">
        <x:v>0.96</x:v>
      </x:c>
      <x:c r="K107" s="5" t="str">
        <x:v>PREVENTIVE</x:v>
      </x:c>
      <x:c r="L107" s="10" t="n">
        <x:v>5359.49</x:v>
      </x:c>
      <x:c r="M107" s="5" t="n">
        <x:v>0</x:v>
      </x:c>
      <x:c r="N107" s="5" t="str">
        <x:v>NORMAL</x:v>
      </x:c>
      <x:c r="O107" s="11" t="str">
        <x:f>LEFT(B107,7)</x:f>
        <x:v>2026-01</x:v>
      </x:c>
    </x:row>
    <x:row r="108">
      <x:c r="A108" s="5" t="str">
        <x:v>OP00107</x:v>
      </x:c>
      <x:c r="B108" s="5" t="str">
        <x:v>2026-02-02 16:00:00</x:v>
      </x:c>
      <x:c r="C108" s="5" t="str">
        <x:v>S003</x:v>
      </x:c>
      <x:c r="D108" s="5" t="str">
        <x:v>A009</x:v>
      </x:c>
      <x:c r="E108" s="5" t="str">
        <x:v>DAY</x:v>
      </x:c>
      <x:c r="F108" s="9" t="n">
        <x:v>647.93</x:v>
      </x:c>
      <x:c r="G108" s="9" t="n">
        <x:v>822299.37</x:v>
      </x:c>
      <x:c r="H108" s="9" t="n">
        <x:v>0.338</x:v>
      </x:c>
      <x:c r="I108" s="9" t="n">
        <x:v>97.59</x:v>
      </x:c>
      <x:c r="J108" s="9" t="n">
        <x:v>0.14</x:v>
      </x:c>
      <x:c r="K108" s="5" t="str">
        <x:v>NONE</x:v>
      </x:c>
      <x:c r="L108" s="10" t="n">
        <x:v>0</x:v>
      </x:c>
      <x:c r="M108" s="5" t="n">
        <x:v>0</x:v>
      </x:c>
      <x:c r="N108" s="5" t="str">
        <x:v>NORMAL</x:v>
      </x:c>
      <x:c r="O108" s="11" t="str">
        <x:f>LEFT(B108,7)</x:f>
        <x:v>2026-02</x:v>
      </x:c>
    </x:row>
    <x:row r="109">
      <x:c r="A109" s="5" t="str">
        <x:v>OP00108</x:v>
      </x:c>
      <x:c r="B109" s="5" t="str">
        <x:v>2026-02-04 20:00:00</x:v>
      </x:c>
      <x:c r="C109" s="5" t="str">
        <x:v>S004</x:v>
      </x:c>
      <x:c r="D109" s="5" t="str">
        <x:v>A012</x:v>
      </x:c>
      <x:c r="E109" s="5" t="str">
        <x:v>NIGHT</x:v>
      </x:c>
      <x:c r="F109" s="9" t="n">
        <x:v>280.44</x:v>
      </x:c>
      <x:c r="G109" s="9" t="n">
        <x:v>393336.19</x:v>
      </x:c>
      <x:c r="H109" s="9" t="n">
        <x:v>0.169</x:v>
      </x:c>
      <x:c r="I109" s="9" t="n">
        <x:v>97.83</x:v>
      </x:c>
      <x:c r="J109" s="9" t="n">
        <x:v>0.22</x:v>
      </x:c>
      <x:c r="K109" s="5" t="str">
        <x:v>NONE</x:v>
      </x:c>
      <x:c r="L109" s="10" t="n">
        <x:v>0</x:v>
      </x:c>
      <x:c r="M109" s="5" t="n">
        <x:v>0</x:v>
      </x:c>
      <x:c r="N109" s="5" t="str">
        <x:v>NORMAL</x:v>
      </x:c>
      <x:c r="O109" s="11" t="str">
        <x:f>LEFT(B109,7)</x:f>
        <x:v>2026-02</x:v>
      </x:c>
    </x:row>
    <x:row r="110">
      <x:c r="A110" s="5" t="str">
        <x:v>OP00109</x:v>
      </x:c>
      <x:c r="B110" s="5" t="str">
        <x:v>2026-02-06 00:00:00</x:v>
      </x:c>
      <x:c r="C110" s="5" t="str">
        <x:v>S001</x:v>
      </x:c>
      <x:c r="D110" s="5" t="str">
        <x:v>A001</x:v>
      </x:c>
      <x:c r="E110" s="5" t="str">
        <x:v>NIGHT</x:v>
      </x:c>
      <x:c r="F110" s="9" t="n">
        <x:v>354.25</x:v>
      </x:c>
      <x:c r="G110" s="9" t="n">
        <x:v>454677.34</x:v>
      </x:c>
      <x:c r="H110" s="9" t="n">
        <x:v>0.543</x:v>
      </x:c>
      <x:c r="I110" s="9" t="n">
        <x:v>96.85</x:v>
      </x:c>
      <x:c r="J110" s="9" t="n">
        <x:v>0.08</x:v>
      </x:c>
      <x:c r="K110" s="5" t="str">
        <x:v>NONE</x:v>
      </x:c>
      <x:c r="L110" s="10" t="n">
        <x:v>0</x:v>
      </x:c>
      <x:c r="M110" s="5" t="n">
        <x:v>0</x:v>
      </x:c>
      <x:c r="N110" s="5" t="str">
        <x:v>NORMAL</x:v>
      </x:c>
      <x:c r="O110" s="11" t="str">
        <x:f>LEFT(B110,7)</x:f>
        <x:v>2026-02</x:v>
      </x:c>
    </x:row>
    <x:row r="111">
      <x:c r="A111" s="5" t="str">
        <x:v>OP00110</x:v>
      </x:c>
      <x:c r="B111" s="5" t="str">
        <x:v>2026-02-08 04:00:00</x:v>
      </x:c>
      <x:c r="C111" s="5" t="str">
        <x:v>S002</x:v>
      </x:c>
      <x:c r="D111" s="5" t="str">
        <x:v>A004</x:v>
      </x:c>
      <x:c r="E111" s="5" t="str">
        <x:v>NIGHT</x:v>
      </x:c>
      <x:c r="F111" s="9" t="n">
        <x:v>107.26</x:v>
      </x:c>
      <x:c r="G111" s="9" t="n">
        <x:v>144139.77</x:v>
      </x:c>
      <x:c r="H111" s="9" t="n">
        <x:v>0.18</x:v>
      </x:c>
      <x:c r="I111" s="9" t="n">
        <x:v>97.21</x:v>
      </x:c>
      <x:c r="J111" s="9" t="n">
        <x:v>0.2</x:v>
      </x:c>
      <x:c r="K111" s="5" t="str">
        <x:v>NONE</x:v>
      </x:c>
      <x:c r="L111" s="10" t="n">
        <x:v>0</x:v>
      </x:c>
      <x:c r="M111" s="5" t="n">
        <x:v>0</x:v>
      </x:c>
      <x:c r="N111" s="5" t="str">
        <x:v>NORMAL</x:v>
      </x:c>
      <x:c r="O111" s="11" t="str">
        <x:f>LEFT(B111,7)</x:f>
        <x:v>2026-02</x:v>
      </x:c>
    </x:row>
    <x:row r="112">
      <x:c r="A112" s="5" t="str">
        <x:v>OP00111</x:v>
      </x:c>
      <x:c r="B112" s="5" t="str">
        <x:v>2026-02-10 08:00:00</x:v>
      </x:c>
      <x:c r="C112" s="5" t="str">
        <x:v>S003</x:v>
      </x:c>
      <x:c r="D112" s="5" t="str">
        <x:v>A007</x:v>
      </x:c>
      <x:c r="E112" s="5" t="str">
        <x:v>DAY</x:v>
      </x:c>
      <x:c r="F112" s="9" t="n">
        <x:v>497.35</x:v>
      </x:c>
      <x:c r="G112" s="9" t="n">
        <x:v>649700.59</x:v>
      </x:c>
      <x:c r="H112" s="9" t="n">
        <x:v>0.618</x:v>
      </x:c>
      <x:c r="I112" s="9" t="n">
        <x:v>96.54</x:v>
      </x:c>
      <x:c r="J112" s="9" t="n">
        <x:v>1.07</x:v>
      </x:c>
      <x:c r="K112" s="5" t="str">
        <x:v>INSPECTION</x:v>
      </x:c>
      <x:c r="L112" s="10" t="n">
        <x:v>1318.39</x:v>
      </x:c>
      <x:c r="M112" s="5" t="n">
        <x:v>0</x:v>
      </x:c>
      <x:c r="N112" s="5" t="str">
        <x:v>NORMAL</x:v>
      </x:c>
      <x:c r="O112" s="11" t="str">
        <x:f>LEFT(B112,7)</x:f>
        <x:v>2026-02</x:v>
      </x:c>
    </x:row>
    <x:row r="113">
      <x:c r="A113" s="5" t="str">
        <x:v>OP00112</x:v>
      </x:c>
      <x:c r="B113" s="5" t="str">
        <x:v>2026-02-12 12:00:00</x:v>
      </x:c>
      <x:c r="C113" s="5" t="str">
        <x:v>S004</x:v>
      </x:c>
      <x:c r="D113" s="5" t="str">
        <x:v>A010</x:v>
      </x:c>
      <x:c r="E113" s="5" t="str">
        <x:v>DAY</x:v>
      </x:c>
      <x:c r="F113" s="9" t="n">
        <x:v>273.69</x:v>
      </x:c>
      <x:c r="G113" s="9" t="n">
        <x:v>368921.96</x:v>
      </x:c>
      <x:c r="H113" s="9" t="n">
        <x:v>0.235</x:v>
      </x:c>
      <x:c r="I113" s="9" t="n">
        <x:v>98.72</x:v>
      </x:c>
      <x:c r="J113" s="9" t="n">
        <x:v>0.09</x:v>
      </x:c>
      <x:c r="K113" s="5" t="str">
        <x:v>NONE</x:v>
      </x:c>
      <x:c r="L113" s="10" t="n">
        <x:v>0</x:v>
      </x:c>
      <x:c r="M113" s="5" t="n">
        <x:v>0</x:v>
      </x:c>
      <x:c r="N113" s="5" t="str">
        <x:v>NORMAL</x:v>
      </x:c>
      <x:c r="O113" s="11" t="str">
        <x:f>LEFT(B113,7)</x:f>
        <x:v>2026-02</x:v>
      </x:c>
    </x:row>
    <x:row r="114">
      <x:c r="A114" s="5" t="str">
        <x:v>OP00113</x:v>
      </x:c>
      <x:c r="B114" s="5" t="str">
        <x:v>2026-02-14 16:00:00</x:v>
      </x:c>
      <x:c r="C114" s="5" t="str">
        <x:v>S001</x:v>
      </x:c>
      <x:c r="D114" s="5" t="str">
        <x:v>A002</x:v>
      </x:c>
      <x:c r="E114" s="5" t="str">
        <x:v>DAY</x:v>
      </x:c>
      <x:c r="F114" s="9" t="n">
        <x:v>366.17</x:v>
      </x:c>
      <x:c r="G114" s="9" t="n">
        <x:v>464005.94</x:v>
      </x:c>
      <x:c r="H114" s="9" t="n">
        <x:v>0.492</x:v>
      </x:c>
      <x:c r="I114" s="9" t="n">
        <x:v>96.49</x:v>
      </x:c>
      <x:c r="J114" s="9" t="n">
        <x:v>1.11</x:v>
      </x:c>
      <x:c r="K114" s="5" t="str">
        <x:v>PREVENTIVE</x:v>
      </x:c>
      <x:c r="L114" s="10" t="n">
        <x:v>12110.45</x:v>
      </x:c>
      <x:c r="M114" s="5" t="n">
        <x:v>0</x:v>
      </x:c>
      <x:c r="N114" s="5" t="str">
        <x:v>NORMAL</x:v>
      </x:c>
      <x:c r="O114" s="11" t="str">
        <x:f>LEFT(B114,7)</x:f>
        <x:v>2026-02</x:v>
      </x:c>
    </x:row>
    <x:row r="115">
      <x:c r="A115" s="5" t="str">
        <x:v>OP00114</x:v>
      </x:c>
      <x:c r="B115" s="5" t="str">
        <x:v>2026-02-16 20:00:00</x:v>
      </x:c>
      <x:c r="C115" s="5" t="str">
        <x:v>S002</x:v>
      </x:c>
      <x:c r="D115" s="5" t="str">
        <x:v>A005</x:v>
      </x:c>
      <x:c r="E115" s="5" t="str">
        <x:v>NIGHT</x:v>
      </x:c>
      <x:c r="F115" s="9" t="n">
        <x:v>112.5</x:v>
      </x:c>
      <x:c r="G115" s="9" t="n">
        <x:v>153477.12</x:v>
      </x:c>
      <x:c r="H115" s="9" t="n">
        <x:v>0.642</x:v>
      </x:c>
      <x:c r="I115" s="9" t="n">
        <x:v>98.11</x:v>
      </x:c>
      <x:c r="J115" s="9" t="n">
        <x:v>0.1</x:v>
      </x:c>
      <x:c r="K115" s="5" t="str">
        <x:v>NONE</x:v>
      </x:c>
      <x:c r="L115" s="10" t="n">
        <x:v>0</x:v>
      </x:c>
      <x:c r="M115" s="5" t="n">
        <x:v>0</x:v>
      </x:c>
      <x:c r="N115" s="5" t="str">
        <x:v>NORMAL</x:v>
      </x:c>
      <x:c r="O115" s="11" t="str">
        <x:f>LEFT(B115,7)</x:f>
        <x:v>2026-02</x:v>
      </x:c>
    </x:row>
    <x:row r="116">
      <x:c r="A116" s="5" t="str">
        <x:v>OP00115</x:v>
      </x:c>
      <x:c r="B116" s="5" t="str">
        <x:v>2026-02-18 00:00:00</x:v>
      </x:c>
      <x:c r="C116" s="5" t="str">
        <x:v>S003</x:v>
      </x:c>
      <x:c r="D116" s="5" t="str">
        <x:v>A008</x:v>
      </x:c>
      <x:c r="E116" s="5" t="str">
        <x:v>NIGHT</x:v>
      </x:c>
      <x:c r="F116" s="9" t="n">
        <x:v>636.39</x:v>
      </x:c>
      <x:c r="G116" s="9" t="n">
        <x:v>836804.79</x:v>
      </x:c>
      <x:c r="H116" s="9" t="n">
        <x:v>0.243</x:v>
      </x:c>
      <x:c r="I116" s="9" t="n">
        <x:v>96.46</x:v>
      </x:c>
      <x:c r="J116" s="9" t="n">
        <x:v>0.01</x:v>
      </x:c>
      <x:c r="K116" s="5" t="str">
        <x:v>NONE</x:v>
      </x:c>
      <x:c r="L116" s="10" t="n">
        <x:v>0</x:v>
      </x:c>
      <x:c r="M116" s="5" t="n">
        <x:v>0</x:v>
      </x:c>
      <x:c r="N116" s="5" t="str">
        <x:v>NORMAL</x:v>
      </x:c>
      <x:c r="O116" s="11" t="str">
        <x:f>LEFT(B116,7)</x:f>
        <x:v>2026-02</x:v>
      </x:c>
    </x:row>
    <x:row r="117">
      <x:c r="A117" s="5" t="str">
        <x:v>OP00116</x:v>
      </x:c>
      <x:c r="B117" s="5" t="str">
        <x:v>2026-02-20 04:00:00</x:v>
      </x:c>
      <x:c r="C117" s="5" t="str">
        <x:v>S004</x:v>
      </x:c>
      <x:c r="D117" s="5" t="str">
        <x:v>A011</x:v>
      </x:c>
      <x:c r="E117" s="5" t="str">
        <x:v>NIGHT</x:v>
      </x:c>
      <x:c r="F117" s="9" t="n">
        <x:v>265.43</x:v>
      </x:c>
      <x:c r="G117" s="9" t="n">
        <x:v>346440.24</x:v>
      </x:c>
      <x:c r="H117" s="9" t="n">
        <x:v>0.423</x:v>
      </x:c>
      <x:c r="I117" s="9" t="n">
        <x:v>95.71</x:v>
      </x:c>
      <x:c r="J117" s="9" t="n">
        <x:v>0.07</x:v>
      </x:c>
      <x:c r="K117" s="5" t="str">
        <x:v>NONE</x:v>
      </x:c>
      <x:c r="L117" s="10" t="n">
        <x:v>0</x:v>
      </x:c>
      <x:c r="M117" s="5" t="n">
        <x:v>0</x:v>
      </x:c>
      <x:c r="N117" s="5" t="str">
        <x:v>NORMAL</x:v>
      </x:c>
      <x:c r="O117" s="11" t="str">
        <x:f>LEFT(B117,7)</x:f>
        <x:v>2026-02</x:v>
      </x:c>
    </x:row>
    <x:row r="118">
      <x:c r="A118" s="5" t="str">
        <x:v>OP00117</x:v>
      </x:c>
      <x:c r="B118" s="5" t="str">
        <x:v>2026-02-22 08:00:00</x:v>
      </x:c>
      <x:c r="C118" s="5" t="str">
        <x:v>S001</x:v>
      </x:c>
      <x:c r="D118" s="5" t="str">
        <x:v>A003</x:v>
      </x:c>
      <x:c r="E118" s="5" t="str">
        <x:v>DAY</x:v>
      </x:c>
      <x:c r="F118" s="9" t="n">
        <x:v>454.57</x:v>
      </x:c>
      <x:c r="G118" s="9" t="n">
        <x:v>581090.93</x:v>
      </x:c>
      <x:c r="H118" s="9" t="n">
        <x:v>0.366</x:v>
      </x:c>
      <x:c r="I118" s="9" t="n">
        <x:v>98.46</x:v>
      </x:c>
      <x:c r="J118" s="9" t="n">
        <x:v>6.13</x:v>
      </x:c>
      <x:c r="K118" s="5" t="str">
        <x:v>CORRECTIVE</x:v>
      </x:c>
      <x:c r="L118" s="10" t="n">
        <x:v>19878.65</x:v>
      </x:c>
      <x:c r="M118" s="5" t="n">
        <x:v>0</x:v>
      </x:c>
      <x:c r="N118" s="5" t="str">
        <x:v>WATCH</x:v>
      </x:c>
      <x:c r="O118" s="11" t="str">
        <x:f>LEFT(B118,7)</x:f>
        <x:v>2026-02</x:v>
      </x:c>
    </x:row>
    <x:row r="119">
      <x:c r="A119" s="5" t="str">
        <x:v>OP00118</x:v>
      </x:c>
      <x:c r="B119" s="5" t="str">
        <x:v>2026-02-24 12:00:00</x:v>
      </x:c>
      <x:c r="C119" s="5" t="str">
        <x:v>S002</x:v>
      </x:c>
      <x:c r="D119" s="5" t="str">
        <x:v>A006</x:v>
      </x:c>
      <x:c r="E119" s="5" t="str">
        <x:v>DAY</x:v>
      </x:c>
      <x:c r="F119" s="9" t="n">
        <x:v>93.75</x:v>
      </x:c>
      <x:c r="G119" s="9" t="n">
        <x:v>121635.44</x:v>
      </x:c>
      <x:c r="H119" s="9" t="n">
        <x:v>0.213</x:v>
      </x:c>
      <x:c r="I119" s="9" t="n">
        <x:v>95.99</x:v>
      </x:c>
      <x:c r="J119" s="9" t="n">
        <x:v>0.11</x:v>
      </x:c>
      <x:c r="K119" s="5" t="str">
        <x:v>NONE</x:v>
      </x:c>
      <x:c r="L119" s="10" t="n">
        <x:v>0</x:v>
      </x:c>
      <x:c r="M119" s="5" t="n">
        <x:v>0</x:v>
      </x:c>
      <x:c r="N119" s="5" t="str">
        <x:v>NORMAL</x:v>
      </x:c>
      <x:c r="O119" s="11" t="str">
        <x:f>LEFT(B119,7)</x:f>
        <x:v>2026-02</x:v>
      </x:c>
    </x:row>
    <x:row r="120">
      <x:c r="A120" s="5" t="str">
        <x:v>OP00119</x:v>
      </x:c>
      <x:c r="B120" s="5" t="str">
        <x:v>2026-02-26 16:00:00</x:v>
      </x:c>
      <x:c r="C120" s="5" t="str">
        <x:v>S003</x:v>
      </x:c>
      <x:c r="D120" s="5" t="str">
        <x:v>A009</x:v>
      </x:c>
      <x:c r="E120" s="5" t="str">
        <x:v>DAY</x:v>
      </x:c>
      <x:c r="F120" s="9" t="n">
        <x:v>556.86</x:v>
      </x:c>
      <x:c r="G120" s="9" t="n">
        <x:v>704977.3</x:v>
      </x:c>
      <x:c r="H120" s="9" t="n">
        <x:v>0.284</x:v>
      </x:c>
      <x:c r="I120" s="9" t="n">
        <x:v>97.5</x:v>
      </x:c>
      <x:c r="J120" s="9" t="n">
        <x:v>0.05</x:v>
      </x:c>
      <x:c r="K120" s="5" t="str">
        <x:v>NONE</x:v>
      </x:c>
      <x:c r="L120" s="10" t="n">
        <x:v>0</x:v>
      </x:c>
      <x:c r="M120" s="5" t="n">
        <x:v>0</x:v>
      </x:c>
      <x:c r="N120" s="5" t="str">
        <x:v>NORMAL</x:v>
      </x:c>
      <x:c r="O120" s="11" t="str">
        <x:f>LEFT(B120,7)</x:f>
        <x:v>2026-02</x:v>
      </x:c>
    </x:row>
    <x:row r="121">
      <x:c r="A121" s="5" t="str">
        <x:v>OP00120</x:v>
      </x:c>
      <x:c r="B121" s="5" t="str">
        <x:v>2026-02-28 20:00:00</x:v>
      </x:c>
      <x:c r="C121" s="5" t="str">
        <x:v>S004</x:v>
      </x:c>
      <x:c r="D121" s="5" t="str">
        <x:v>A012</x:v>
      </x:c>
      <x:c r="E121" s="5" t="str">
        <x:v>NIGHT</x:v>
      </x:c>
      <x:c r="F121" s="9" t="n">
        <x:v>261.6</x:v>
      </x:c>
      <x:c r="G121" s="9" t="n">
        <x:v>335717.98</x:v>
      </x:c>
      <x:c r="H121" s="9" t="n">
        <x:v>0.127</x:v>
      </x:c>
      <x:c r="I121" s="9" t="n">
        <x:v>96.82</x:v>
      </x:c>
      <x:c r="J121" s="9" t="n">
        <x:v>1.3</x:v>
      </x:c>
      <x:c r="K121" s="5" t="str">
        <x:v>PREVENTIVE</x:v>
      </x:c>
      <x:c r="L121" s="10" t="n">
        <x:v>11367.62</x:v>
      </x:c>
      <x:c r="M121" s="5" t="n">
        <x:v>0</x:v>
      </x:c>
      <x:c r="N121" s="5" t="str">
        <x:v>NORMAL</x:v>
      </x:c>
      <x:c r="O121" s="11" t="str">
        <x:f>LEFT(B121,7)</x:f>
        <x:v>2026-02</x:v>
      </x:c>
    </x:row>
    <x:row r="122">
      <x:c r="A122" s="5" t="str">
        <x:v>OP00121</x:v>
      </x:c>
      <x:c r="B122" s="5" t="str">
        <x:v>2026-03-02 00:00:00</x:v>
      </x:c>
      <x:c r="C122" s="5" t="str">
        <x:v>S001</x:v>
      </x:c>
      <x:c r="D122" s="5" t="str">
        <x:v>A001</x:v>
      </x:c>
      <x:c r="E122" s="5" t="str">
        <x:v>NIGHT</x:v>
      </x:c>
      <x:c r="F122" s="9" t="n">
        <x:v>437.63</x:v>
      </x:c>
      <x:c r="G122" s="9" t="n">
        <x:v>586754.4</x:v>
      </x:c>
      <x:c r="H122" s="9" t="n">
        <x:v>0.356</x:v>
      </x:c>
      <x:c r="I122" s="9" t="n">
        <x:v>97.93</x:v>
      </x:c>
      <x:c r="J122" s="9" t="n">
        <x:v>0.24</x:v>
      </x:c>
      <x:c r="K122" s="5" t="str">
        <x:v>NONE</x:v>
      </x:c>
      <x:c r="L122" s="10" t="n">
        <x:v>0</x:v>
      </x:c>
      <x:c r="M122" s="5" t="n">
        <x:v>0</x:v>
      </x:c>
      <x:c r="N122" s="5" t="str">
        <x:v>NORMAL</x:v>
      </x:c>
      <x:c r="O122" s="11" t="str">
        <x:f>LEFT(B122,7)</x:f>
        <x:v>2026-03</x:v>
      </x:c>
    </x:row>
    <x:row r="123">
      <x:c r="A123" s="5" t="str">
        <x:v>OP00122</x:v>
      </x:c>
      <x:c r="B123" s="5" t="str">
        <x:v>2026-03-04 04:00:00</x:v>
      </x:c>
      <x:c r="C123" s="5" t="str">
        <x:v>S002</x:v>
      </x:c>
      <x:c r="D123" s="5" t="str">
        <x:v>A004</x:v>
      </x:c>
      <x:c r="E123" s="5" t="str">
        <x:v>NIGHT</x:v>
      </x:c>
      <x:c r="F123" s="9" t="n">
        <x:v>94.12</x:v>
      </x:c>
      <x:c r="G123" s="9" t="n">
        <x:v>124905.86</x:v>
      </x:c>
      <x:c r="H123" s="9" t="n">
        <x:v>0.461</x:v>
      </x:c>
      <x:c r="I123" s="9" t="n">
        <x:v>98.12</x:v>
      </x:c>
      <x:c r="J123" s="9" t="n">
        <x:v>0.23</x:v>
      </x:c>
      <x:c r="K123" s="5" t="str">
        <x:v>INSPECTION</x:v>
      </x:c>
      <x:c r="L123" s="10" t="n">
        <x:v>4211.45</x:v>
      </x:c>
      <x:c r="M123" s="5" t="n">
        <x:v>0</x:v>
      </x:c>
      <x:c r="N123" s="5" t="str">
        <x:v>NORMAL</x:v>
      </x:c>
      <x:c r="O123" s="11" t="str">
        <x:f>LEFT(B123,7)</x:f>
        <x:v>2026-03</x:v>
      </x:c>
    </x:row>
    <x:row r="124">
      <x:c r="A124" s="5" t="str">
        <x:v>OP00123</x:v>
      </x:c>
      <x:c r="B124" s="5" t="str">
        <x:v>2026-03-06 08:00:00</x:v>
      </x:c>
      <x:c r="C124" s="5" t="str">
        <x:v>S003</x:v>
      </x:c>
      <x:c r="D124" s="5" t="str">
        <x:v>A007</x:v>
      </x:c>
      <x:c r="E124" s="5" t="str">
        <x:v>DAY</x:v>
      </x:c>
      <x:c r="F124" s="9" t="n">
        <x:v>662.18</x:v>
      </x:c>
      <x:c r="G124" s="9" t="n">
        <x:v>856726.95</x:v>
      </x:c>
      <x:c r="H124" s="9" t="n">
        <x:v>0.53</x:v>
      </x:c>
      <x:c r="I124" s="9" t="n">
        <x:v>97.41</x:v>
      </x:c>
      <x:c r="J124" s="9" t="n">
        <x:v>0.09</x:v>
      </x:c>
      <x:c r="K124" s="5" t="str">
        <x:v>NONE</x:v>
      </x:c>
      <x:c r="L124" s="10" t="n">
        <x:v>0</x:v>
      </x:c>
      <x:c r="M124" s="5" t="n">
        <x:v>0</x:v>
      </x:c>
      <x:c r="N124" s="5" t="str">
        <x:v>NORMAL</x:v>
      </x:c>
      <x:c r="O124" s="11" t="str">
        <x:f>LEFT(B124,7)</x:f>
        <x:v>2026-03</x:v>
      </x:c>
    </x:row>
    <x:row r="125">
      <x:c r="A125" s="5" t="str">
        <x:v>OP00124</x:v>
      </x:c>
      <x:c r="B125" s="5" t="str">
        <x:v>2026-03-08 12:00:00</x:v>
      </x:c>
      <x:c r="C125" s="5" t="str">
        <x:v>S004</x:v>
      </x:c>
      <x:c r="D125" s="5" t="str">
        <x:v>A010</x:v>
      </x:c>
      <x:c r="E125" s="5" t="str">
        <x:v>DAY</x:v>
      </x:c>
      <x:c r="F125" s="9" t="n">
        <x:v>218.15</x:v>
      </x:c>
      <x:c r="G125" s="9" t="n">
        <x:v>281570.2</x:v>
      </x:c>
      <x:c r="H125" s="9" t="n">
        <x:v>0.613</x:v>
      </x:c>
      <x:c r="I125" s="9" t="n">
        <x:v>96.61</x:v>
      </x:c>
      <x:c r="J125" s="9" t="n">
        <x:v>0.03</x:v>
      </x:c>
      <x:c r="K125" s="5" t="str">
        <x:v>NONE</x:v>
      </x:c>
      <x:c r="L125" s="10" t="n">
        <x:v>0</x:v>
      </x:c>
      <x:c r="M125" s="5" t="n">
        <x:v>0</x:v>
      </x:c>
      <x:c r="N125" s="5" t="str">
        <x:v>NORMAL</x:v>
      </x:c>
      <x:c r="O125" s="11" t="str">
        <x:f>LEFT(B125,7)</x:f>
        <x:v>2026-03</x:v>
      </x:c>
    </x:row>
    <x:row r="126">
      <x:c r="A126" s="5" t="str">
        <x:v>OP00125</x:v>
      </x:c>
      <x:c r="B126" s="5" t="str">
        <x:v>2026-03-10 16:00:00</x:v>
      </x:c>
      <x:c r="C126" s="5" t="str">
        <x:v>S001</x:v>
      </x:c>
      <x:c r="D126" s="5" t="str">
        <x:v>A002</x:v>
      </x:c>
      <x:c r="E126" s="5" t="str">
        <x:v>DAY</x:v>
      </x:c>
      <x:c r="F126" s="9" t="n">
        <x:v>389.48</x:v>
      </x:c>
      <x:c r="G126" s="9" t="n">
        <x:v>516229.64</x:v>
      </x:c>
      <x:c r="H126" s="9" t="n">
        <x:v>0.688</x:v>
      </x:c>
      <x:c r="I126" s="9" t="n">
        <x:v>97.4</x:v>
      </x:c>
      <x:c r="J126" s="9" t="n">
        <x:v>0.1</x:v>
      </x:c>
      <x:c r="K126" s="5" t="str">
        <x:v>NONE</x:v>
      </x:c>
      <x:c r="L126" s="10" t="n">
        <x:v>0</x:v>
      </x:c>
      <x:c r="M126" s="5" t="n">
        <x:v>0</x:v>
      </x:c>
      <x:c r="N126" s="5" t="str">
        <x:v>NORMAL</x:v>
      </x:c>
      <x:c r="O126" s="11" t="str">
        <x:f>LEFT(B126,7)</x:f>
        <x:v>2026-03</x:v>
      </x:c>
    </x:row>
    <x:row r="127">
      <x:c r="A127" s="5" t="str">
        <x:v>OP00126</x:v>
      </x:c>
      <x:c r="B127" s="5" t="str">
        <x:v>2026-03-12 20:00:00</x:v>
      </x:c>
      <x:c r="C127" s="5" t="str">
        <x:v>S002</x:v>
      </x:c>
      <x:c r="D127" s="5" t="str">
        <x:v>A005</x:v>
      </x:c>
      <x:c r="E127" s="5" t="str">
        <x:v>NIGHT</x:v>
      </x:c>
      <x:c r="F127" s="9" t="n">
        <x:v>107.72</x:v>
      </x:c>
      <x:c r="G127" s="9" t="n">
        <x:v>142757.2</x:v>
      </x:c>
      <x:c r="H127" s="9" t="n">
        <x:v>0.144</x:v>
      </x:c>
      <x:c r="I127" s="9" t="n">
        <x:v>97.82</x:v>
      </x:c>
      <x:c r="J127" s="9" t="n">
        <x:v>0.04</x:v>
      </x:c>
      <x:c r="K127" s="5" t="str">
        <x:v>NONE</x:v>
      </x:c>
      <x:c r="L127" s="10" t="n">
        <x:v>0</x:v>
      </x:c>
      <x:c r="M127" s="5" t="n">
        <x:v>0</x:v>
      </x:c>
      <x:c r="N127" s="5" t="str">
        <x:v>NORMAL</x:v>
      </x:c>
      <x:c r="O127" s="11" t="str">
        <x:f>LEFT(B127,7)</x:f>
        <x:v>2026-03</x:v>
      </x:c>
    </x:row>
    <x:row r="128">
      <x:c r="A128" s="5" t="str">
        <x:v>OP00127</x:v>
      </x:c>
      <x:c r="B128" s="5" t="str">
        <x:v>2026-03-14 00:00:00</x:v>
      </x:c>
      <x:c r="C128" s="5" t="str">
        <x:v>S003</x:v>
      </x:c>
      <x:c r="D128" s="5" t="str">
        <x:v>A008</x:v>
      </x:c>
      <x:c r="E128" s="5" t="str">
        <x:v>NIGHT</x:v>
      </x:c>
      <x:c r="F128" s="9" t="n">
        <x:v>672.85</x:v>
      </x:c>
      <x:c r="G128" s="9" t="n">
        <x:v>862383.89</x:v>
      </x:c>
      <x:c r="H128" s="9" t="n">
        <x:v>0.468</x:v>
      </x:c>
      <x:c r="I128" s="9" t="n">
        <x:v>96.02</x:v>
      </x:c>
      <x:c r="J128" s="9" t="n">
        <x:v>2.13</x:v>
      </x:c>
      <x:c r="K128" s="5" t="str">
        <x:v>PREVENTIVE</x:v>
      </x:c>
      <x:c r="L128" s="10" t="n">
        <x:v>4241.12</x:v>
      </x:c>
      <x:c r="M128" s="5" t="n">
        <x:v>0</x:v>
      </x:c>
      <x:c r="N128" s="5" t="str">
        <x:v>WATCH</x:v>
      </x:c>
      <x:c r="O128" s="11" t="str">
        <x:f>LEFT(B128,7)</x:f>
        <x:v>2026-03</x:v>
      </x:c>
    </x:row>
    <x:row r="129">
      <x:c r="A129" s="5" t="str">
        <x:v>OP00128</x:v>
      </x:c>
      <x:c r="B129" s="5" t="str">
        <x:v>2026-03-16 04:00:00</x:v>
      </x:c>
      <x:c r="C129" s="5" t="str">
        <x:v>S004</x:v>
      </x:c>
      <x:c r="D129" s="5" t="str">
        <x:v>A011</x:v>
      </x:c>
      <x:c r="E129" s="5" t="str">
        <x:v>NIGHT</x:v>
      </x:c>
      <x:c r="F129" s="9" t="n">
        <x:v>228.53</x:v>
      </x:c>
      <x:c r="G129" s="9" t="n">
        <x:v>295549.49</x:v>
      </x:c>
      <x:c r="H129" s="9" t="n">
        <x:v>0.423</x:v>
      </x:c>
      <x:c r="I129" s="9" t="n">
        <x:v>95.7</x:v>
      </x:c>
      <x:c r="J129" s="9" t="n">
        <x:v>0</x:v>
      </x:c>
      <x:c r="K129" s="5" t="str">
        <x:v>NONE</x:v>
      </x:c>
      <x:c r="L129" s="10" t="n">
        <x:v>0</x:v>
      </x:c>
      <x:c r="M129" s="5" t="n">
        <x:v>0</x:v>
      </x:c>
      <x:c r="N129" s="5" t="str">
        <x:v>NORMAL</x:v>
      </x:c>
      <x:c r="O129" s="11" t="str">
        <x:f>LEFT(B129,7)</x:f>
        <x:v>2026-03</x:v>
      </x:c>
    </x:row>
    <x:row r="130">
      <x:c r="A130" s="5" t="str">
        <x:v>OP00129</x:v>
      </x:c>
      <x:c r="B130" s="5" t="str">
        <x:v>2026-03-18 08:00:00</x:v>
      </x:c>
      <x:c r="C130" s="5" t="str">
        <x:v>S001</x:v>
      </x:c>
      <x:c r="D130" s="5" t="str">
        <x:v>A003</x:v>
      </x:c>
      <x:c r="E130" s="5" t="str">
        <x:v>DAY</x:v>
      </x:c>
      <x:c r="F130" s="9" t="n">
        <x:v>418.82</x:v>
      </x:c>
      <x:c r="G130" s="9" t="n">
        <x:v>554189.18</x:v>
      </x:c>
      <x:c r="H130" s="9" t="n">
        <x:v>0.632</x:v>
      </x:c>
      <x:c r="I130" s="9" t="n">
        <x:v>98.1</x:v>
      </x:c>
      <x:c r="J130" s="9" t="n">
        <x:v>0.14</x:v>
      </x:c>
      <x:c r="K130" s="5" t="str">
        <x:v>NONE</x:v>
      </x:c>
      <x:c r="L130" s="10" t="n">
        <x:v>0</x:v>
      </x:c>
      <x:c r="M130" s="5" t="n">
        <x:v>0</x:v>
      </x:c>
      <x:c r="N130" s="5" t="str">
        <x:v>NORMAL</x:v>
      </x:c>
      <x:c r="O130" s="11" t="str">
        <x:f>LEFT(B130,7)</x:f>
        <x:v>2026-03</x:v>
      </x:c>
    </x:row>
    <x:row r="131">
      <x:c r="A131" s="5" t="str">
        <x:v>OP00130</x:v>
      </x:c>
      <x:c r="B131" s="5" t="str">
        <x:v>2026-03-20 12:00:00</x:v>
      </x:c>
      <x:c r="C131" s="5" t="str">
        <x:v>S002</x:v>
      </x:c>
      <x:c r="D131" s="5" t="str">
        <x:v>A006</x:v>
      </x:c>
      <x:c r="E131" s="5" t="str">
        <x:v>DAY</x:v>
      </x:c>
      <x:c r="F131" s="9" t="n">
        <x:v>85.16</x:v>
      </x:c>
      <x:c r="G131" s="9" t="n">
        <x:v>114020.98</x:v>
      </x:c>
      <x:c r="H131" s="9" t="n">
        <x:v>0.536</x:v>
      </x:c>
      <x:c r="I131" s="9" t="n">
        <x:v>95.95</x:v>
      </x:c>
      <x:c r="J131" s="9" t="n">
        <x:v>0.08</x:v>
      </x:c>
      <x:c r="K131" s="5" t="str">
        <x:v>NONE</x:v>
      </x:c>
      <x:c r="L131" s="10" t="n">
        <x:v>0</x:v>
      </x:c>
      <x:c r="M131" s="5" t="n">
        <x:v>0</x:v>
      </x:c>
      <x:c r="N131" s="5" t="str">
        <x:v>NORMAL</x:v>
      </x:c>
      <x:c r="O131" s="11" t="str">
        <x:f>LEFT(B131,7)</x:f>
        <x:v>2026-03</x:v>
      </x:c>
    </x:row>
    <x:row r="132">
      <x:c r="A132" s="5" t="str">
        <x:v>OP00131</x:v>
      </x:c>
      <x:c r="B132" s="5" t="str">
        <x:v>2026-03-22 16:00:00</x:v>
      </x:c>
      <x:c r="C132" s="5" t="str">
        <x:v>S003</x:v>
      </x:c>
      <x:c r="D132" s="5" t="str">
        <x:v>A009</x:v>
      </x:c>
      <x:c r="E132" s="5" t="str">
        <x:v>DAY</x:v>
      </x:c>
      <x:c r="F132" s="9" t="n">
        <x:v>536.11</x:v>
      </x:c>
      <x:c r="G132" s="9" t="n">
        <x:v>693353.75</x:v>
      </x:c>
      <x:c r="H132" s="9" t="n">
        <x:v>0.192</x:v>
      </x:c>
      <x:c r="I132" s="9" t="n">
        <x:v>96.57</x:v>
      </x:c>
      <x:c r="J132" s="9" t="n">
        <x:v>0.22</x:v>
      </x:c>
      <x:c r="K132" s="5" t="str">
        <x:v>NONE</x:v>
      </x:c>
      <x:c r="L132" s="10" t="n">
        <x:v>0</x:v>
      </x:c>
      <x:c r="M132" s="5" t="n">
        <x:v>0</x:v>
      </x:c>
      <x:c r="N132" s="5" t="str">
        <x:v>NORMAL</x:v>
      </x:c>
      <x:c r="O132" s="11" t="str">
        <x:f>LEFT(B132,7)</x:f>
        <x:v>2026-03</x:v>
      </x:c>
    </x:row>
    <x:row r="133">
      <x:c r="A133" s="5" t="str">
        <x:v>OP00132</x:v>
      </x:c>
      <x:c r="B133" s="5" t="str">
        <x:v>2026-03-24 20:00:00</x:v>
      </x:c>
      <x:c r="C133" s="5" t="str">
        <x:v>S004</x:v>
      </x:c>
      <x:c r="D133" s="5" t="str">
        <x:v>A012</x:v>
      </x:c>
      <x:c r="E133" s="5" t="str">
        <x:v>NIGHT</x:v>
      </x:c>
      <x:c r="F133" s="9" t="n">
        <x:v>223.29</x:v>
      </x:c>
      <x:c r="G133" s="9" t="n">
        <x:v>308240.85</x:v>
      </x:c>
      <x:c r="H133" s="9" t="n">
        <x:v>0.675</x:v>
      </x:c>
      <x:c r="I133" s="9" t="n">
        <x:v>97.32</x:v>
      </x:c>
      <x:c r="J133" s="9" t="n">
        <x:v>0.23</x:v>
      </x:c>
      <x:c r="K133" s="5" t="str">
        <x:v>NONE</x:v>
      </x:c>
      <x:c r="L133" s="10" t="n">
        <x:v>0</x:v>
      </x:c>
      <x:c r="M133" s="5" t="n">
        <x:v>0</x:v>
      </x:c>
      <x:c r="N133" s="5" t="str">
        <x:v>NORMAL</x:v>
      </x:c>
      <x:c r="O133" s="11" t="str">
        <x:f>LEFT(B133,7)</x:f>
        <x:v>2026-03</x:v>
      </x:c>
    </x:row>
    <x:row r="134">
      <x:c r="A134" s="5" t="str">
        <x:v>OP00133</x:v>
      </x:c>
      <x:c r="B134" s="5" t="str">
        <x:v>2026-03-26 00:00:00</x:v>
      </x:c>
      <x:c r="C134" s="5" t="str">
        <x:v>S001</x:v>
      </x:c>
      <x:c r="D134" s="5" t="str">
        <x:v>A001</x:v>
      </x:c>
      <x:c r="E134" s="5" t="str">
        <x:v>NIGHT</x:v>
      </x:c>
      <x:c r="F134" s="9" t="n">
        <x:v>438.28</x:v>
      </x:c>
      <x:c r="G134" s="9" t="n">
        <x:v>583862.1</x:v>
      </x:c>
      <x:c r="H134" s="9" t="n">
        <x:v>0.129</x:v>
      </x:c>
      <x:c r="I134" s="9" t="n">
        <x:v>97.18</x:v>
      </x:c>
      <x:c r="J134" s="9" t="n">
        <x:v>0.39</x:v>
      </x:c>
      <x:c r="K134" s="5" t="str">
        <x:v>INSPECTION</x:v>
      </x:c>
      <x:c r="L134" s="10" t="n">
        <x:v>1529.96</x:v>
      </x:c>
      <x:c r="M134" s="5" t="n">
        <x:v>0</x:v>
      </x:c>
      <x:c r="N134" s="5" t="str">
        <x:v>NORMAL</x:v>
      </x:c>
      <x:c r="O134" s="11" t="str">
        <x:f>LEFT(B134,7)</x:f>
        <x:v>2026-03</x:v>
      </x:c>
    </x:row>
    <x:row r="135">
      <x:c r="A135" s="5" t="str">
        <x:v>OP00134</x:v>
      </x:c>
      <x:c r="B135" s="5" t="str">
        <x:v>2026-03-28 04:00:00</x:v>
      </x:c>
      <x:c r="C135" s="5" t="str">
        <x:v>S002</x:v>
      </x:c>
      <x:c r="D135" s="5" t="str">
        <x:v>A004</x:v>
      </x:c>
      <x:c r="E135" s="5" t="str">
        <x:v>NIGHT</x:v>
      </x:c>
      <x:c r="F135" s="9" t="n">
        <x:v>112.02</x:v>
      </x:c>
      <x:c r="G135" s="9" t="n">
        <x:v>144060.79</x:v>
      </x:c>
      <x:c r="H135" s="9" t="n">
        <x:v>0.374</x:v>
      </x:c>
      <x:c r="I135" s="9" t="n">
        <x:v>98.78</x:v>
      </x:c>
      <x:c r="J135" s="9" t="n">
        <x:v>2.11</x:v>
      </x:c>
      <x:c r="K135" s="5" t="str">
        <x:v>PREVENTIVE</x:v>
      </x:c>
      <x:c r="L135" s="10" t="n">
        <x:v>7070.02</x:v>
      </x:c>
      <x:c r="M135" s="5" t="n">
        <x:v>0</x:v>
      </x:c>
      <x:c r="N135" s="5" t="str">
        <x:v>WATCH</x:v>
      </x:c>
      <x:c r="O135" s="11" t="str">
        <x:f>LEFT(B135,7)</x:f>
        <x:v>2026-03</x:v>
      </x:c>
    </x:row>
    <x:row r="136">
      <x:c r="A136" s="5" t="str">
        <x:v>OP00135</x:v>
      </x:c>
      <x:c r="B136" s="5" t="str">
        <x:v>2026-03-30 08:00:00</x:v>
      </x:c>
      <x:c r="C136" s="5" t="str">
        <x:v>S003</x:v>
      </x:c>
      <x:c r="D136" s="5" t="str">
        <x:v>A007</x:v>
      </x:c>
      <x:c r="E136" s="5" t="str">
        <x:v>DAY</x:v>
      </x:c>
      <x:c r="F136" s="9" t="n">
        <x:v>494.36</x:v>
      </x:c>
      <x:c r="G136" s="9" t="n">
        <x:v>633275.63</x:v>
      </x:c>
      <x:c r="H136" s="9" t="n">
        <x:v>0.577</x:v>
      </x:c>
      <x:c r="I136" s="9" t="n">
        <x:v>97.72</x:v>
      </x:c>
      <x:c r="J136" s="9" t="n">
        <x:v>0.21</x:v>
      </x:c>
      <x:c r="K136" s="5" t="str">
        <x:v>NONE</x:v>
      </x:c>
      <x:c r="L136" s="10" t="n">
        <x:v>0</x:v>
      </x:c>
      <x:c r="M136" s="5" t="n">
        <x:v>0</x:v>
      </x:c>
      <x:c r="N136" s="5" t="str">
        <x:v>NORMAL</x:v>
      </x:c>
      <x:c r="O136" s="11" t="str">
        <x:f>LEFT(B136,7)</x:f>
        <x:v>2026-03</x:v>
      </x:c>
    </x:row>
    <x:row r="137">
      <x:c r="A137" s="5" t="str">
        <x:v>OP00136</x:v>
      </x:c>
      <x:c r="B137" s="5" t="str">
        <x:v>2026-04-01 12:00:00</x:v>
      </x:c>
      <x:c r="C137" s="5" t="str">
        <x:v>S004</x:v>
      </x:c>
      <x:c r="D137" s="5" t="str">
        <x:v>A010</x:v>
      </x:c>
      <x:c r="E137" s="5" t="str">
        <x:v>DAY</x:v>
      </x:c>
      <x:c r="F137" s="9" t="n">
        <x:v>272.19</x:v>
      </x:c>
      <x:c r="G137" s="9" t="n">
        <x:v>365395.08</x:v>
      </x:c>
      <x:c r="H137" s="9" t="n">
        <x:v>0.401</x:v>
      </x:c>
      <x:c r="I137" s="9" t="n">
        <x:v>96.07</x:v>
      </x:c>
      <x:c r="J137" s="9" t="n">
        <x:v>0.19</x:v>
      </x:c>
      <x:c r="K137" s="5" t="str">
        <x:v>NONE</x:v>
      </x:c>
      <x:c r="L137" s="10" t="n">
        <x:v>0</x:v>
      </x:c>
      <x:c r="M137" s="5" t="n">
        <x:v>0</x:v>
      </x:c>
      <x:c r="N137" s="5" t="str">
        <x:v>NORMAL</x:v>
      </x:c>
      <x:c r="O137" s="11" t="str">
        <x:f>LEFT(B137,7)</x:f>
        <x:v>2026-04</x:v>
      </x:c>
    </x:row>
    <x:row r="138">
      <x:c r="A138" s="5" t="str">
        <x:v>OP00137</x:v>
      </x:c>
      <x:c r="B138" s="5" t="str">
        <x:v>2026-04-03 16:00:00</x:v>
      </x:c>
      <x:c r="C138" s="5" t="str">
        <x:v>S001</x:v>
      </x:c>
      <x:c r="D138" s="5" t="str">
        <x:v>A002</x:v>
      </x:c>
      <x:c r="E138" s="5" t="str">
        <x:v>DAY</x:v>
      </x:c>
      <x:c r="F138" s="9" t="n">
        <x:v>422.96</x:v>
      </x:c>
      <x:c r="G138" s="9" t="n">
        <x:v>536513.77</x:v>
      </x:c>
      <x:c r="H138" s="9" t="n">
        <x:v>0.592</x:v>
      </x:c>
      <x:c r="I138" s="9" t="n">
        <x:v>97.92</x:v>
      </x:c>
      <x:c r="J138" s="9" t="n">
        <x:v>0.06</x:v>
      </x:c>
      <x:c r="K138" s="5" t="str">
        <x:v>NONE</x:v>
      </x:c>
      <x:c r="L138" s="10" t="n">
        <x:v>0</x:v>
      </x:c>
      <x:c r="M138" s="5" t="n">
        <x:v>0</x:v>
      </x:c>
      <x:c r="N138" s="5" t="str">
        <x:v>NORMAL</x:v>
      </x:c>
      <x:c r="O138" s="11" t="str">
        <x:f>LEFT(B138,7)</x:f>
        <x:v>2026-04</x:v>
      </x:c>
    </x:row>
    <x:row r="139">
      <x:c r="A139" s="5" t="str">
        <x:v>OP00138</x:v>
      </x:c>
      <x:c r="B139" s="5" t="str">
        <x:v>2026-04-05 20:00:00</x:v>
      </x:c>
      <x:c r="C139" s="5" t="str">
        <x:v>S002</x:v>
      </x:c>
      <x:c r="D139" s="5" t="str">
        <x:v>A005</x:v>
      </x:c>
      <x:c r="E139" s="5" t="str">
        <x:v>NIGHT</x:v>
      </x:c>
      <x:c r="F139" s="9" t="n">
        <x:v>93.02</x:v>
      </x:c>
      <x:c r="G139" s="9" t="n">
        <x:v>121462.48</x:v>
      </x:c>
      <x:c r="H139" s="9" t="n">
        <x:v>0.661</x:v>
      </x:c>
      <x:c r="I139" s="9" t="n">
        <x:v>97.28</x:v>
      </x:c>
      <x:c r="J139" s="9" t="n">
        <x:v>0.24</x:v>
      </x:c>
      <x:c r="K139" s="5" t="str">
        <x:v>NONE</x:v>
      </x:c>
      <x:c r="L139" s="10" t="n">
        <x:v>0</x:v>
      </x:c>
      <x:c r="M139" s="5" t="n">
        <x:v>0</x:v>
      </x:c>
      <x:c r="N139" s="5" t="str">
        <x:v>NORMAL</x:v>
      </x:c>
      <x:c r="O139" s="11" t="str">
        <x:f>LEFT(B139,7)</x:f>
        <x:v>2026-04</x:v>
      </x:c>
    </x:row>
    <x:row r="140">
      <x:c r="A140" s="5" t="str">
        <x:v>OP00139</x:v>
      </x:c>
      <x:c r="B140" s="5" t="str">
        <x:v>2026-04-07 00:00:00</x:v>
      </x:c>
      <x:c r="C140" s="5" t="str">
        <x:v>S003</x:v>
      </x:c>
      <x:c r="D140" s="5" t="str">
        <x:v>A008</x:v>
      </x:c>
      <x:c r="E140" s="5" t="str">
        <x:v>NIGHT</x:v>
      </x:c>
      <x:c r="F140" s="9" t="n">
        <x:v>490.72</x:v>
      </x:c>
      <x:c r="G140" s="9" t="n">
        <x:v>665898.12</x:v>
      </x:c>
      <x:c r="H140" s="9" t="n">
        <x:v>0.429</x:v>
      </x:c>
      <x:c r="I140" s="9" t="n">
        <x:v>97.93</x:v>
      </x:c>
      <x:c r="J140" s="9" t="n">
        <x:v>0.12</x:v>
      </x:c>
      <x:c r="K140" s="5" t="str">
        <x:v>NONE</x:v>
      </x:c>
      <x:c r="L140" s="10" t="n">
        <x:v>0</x:v>
      </x:c>
      <x:c r="M140" s="5" t="n">
        <x:v>0</x:v>
      </x:c>
      <x:c r="N140" s="5" t="str">
        <x:v>NORMAL</x:v>
      </x:c>
      <x:c r="O140" s="11" t="str">
        <x:f>LEFT(B140,7)</x:f>
        <x:v>2026-04</x:v>
      </x:c>
    </x:row>
    <x:row r="141">
      <x:c r="A141" s="5" t="str">
        <x:v>OP00140</x:v>
      </x:c>
      <x:c r="B141" s="5" t="str">
        <x:v>2026-04-09 04:00:00</x:v>
      </x:c>
      <x:c r="C141" s="5" t="str">
        <x:v>S004</x:v>
      </x:c>
      <x:c r="D141" s="5" t="str">
        <x:v>A011</x:v>
      </x:c>
      <x:c r="E141" s="5" t="str">
        <x:v>NIGHT</x:v>
      </x:c>
      <x:c r="F141" s="9" t="n">
        <x:v>234.82</x:v>
      </x:c>
      <x:c r="G141" s="9" t="n">
        <x:v>318153.38</x:v>
      </x:c>
      <x:c r="H141" s="9" t="n">
        <x:v>0.277</x:v>
      </x:c>
      <x:c r="I141" s="9" t="n">
        <x:v>96.16</x:v>
      </x:c>
      <x:c r="J141" s="9" t="n">
        <x:v>0.08</x:v>
      </x:c>
      <x:c r="K141" s="5" t="str">
        <x:v>NONE</x:v>
      </x:c>
      <x:c r="L141" s="10" t="n">
        <x:v>0</x:v>
      </x:c>
      <x:c r="M141" s="5" t="n">
        <x:v>0</x:v>
      </x:c>
      <x:c r="N141" s="5" t="str">
        <x:v>NORMAL</x:v>
      </x:c>
      <x:c r="O141" s="11" t="str">
        <x:f>LEFT(B141,7)</x:f>
        <x:v>2026-04</x:v>
      </x:c>
    </x:row>
    <x:row r="142">
      <x:c r="A142" s="5" t="str">
        <x:v>OP00141</x:v>
      </x:c>
      <x:c r="B142" s="5" t="str">
        <x:v>2026-04-11 08:00:00</x:v>
      </x:c>
      <x:c r="C142" s="5" t="str">
        <x:v>S001</x:v>
      </x:c>
      <x:c r="D142" s="5" t="str">
        <x:v>A003</x:v>
      </x:c>
      <x:c r="E142" s="5" t="str">
        <x:v>DAY</x:v>
      </x:c>
      <x:c r="F142" s="9" t="n">
        <x:v>410.32</x:v>
      </x:c>
      <x:c r="G142" s="9" t="n">
        <x:v>566801.53</x:v>
      </x:c>
      <x:c r="H142" s="9" t="n">
        <x:v>0.207</x:v>
      </x:c>
      <x:c r="I142" s="9" t="n">
        <x:v>96.2</x:v>
      </x:c>
      <x:c r="J142" s="9" t="n">
        <x:v>1.67</x:v>
      </x:c>
      <x:c r="K142" s="5" t="str">
        <x:v>PREVENTIVE</x:v>
      </x:c>
      <x:c r="L142" s="10" t="n">
        <x:v>6916.61</x:v>
      </x:c>
      <x:c r="M142" s="5" t="n">
        <x:v>0</x:v>
      </x:c>
      <x:c r="N142" s="5" t="str">
        <x:v>NORMAL</x:v>
      </x:c>
      <x:c r="O142" s="11" t="str">
        <x:f>LEFT(B142,7)</x:f>
        <x:v>2026-04</x:v>
      </x:c>
    </x:row>
    <x:row r="143">
      <x:c r="A143" s="5" t="str">
        <x:v>OP00142</x:v>
      </x:c>
      <x:c r="B143" s="5" t="str">
        <x:v>2026-04-13 12:00:00</x:v>
      </x:c>
      <x:c r="C143" s="5" t="str">
        <x:v>S002</x:v>
      </x:c>
      <x:c r="D143" s="5" t="str">
        <x:v>A006</x:v>
      </x:c>
      <x:c r="E143" s="5" t="str">
        <x:v>DAY</x:v>
      </x:c>
      <x:c r="F143" s="9" t="n">
        <x:v>91.43</x:v>
      </x:c>
      <x:c r="G143" s="9" t="n">
        <x:v>116281.64</x:v>
      </x:c>
      <x:c r="H143" s="9" t="n">
        <x:v>0.266</x:v>
      </x:c>
      <x:c r="I143" s="9" t="n">
        <x:v>96.62</x:v>
      </x:c>
      <x:c r="J143" s="9" t="n">
        <x:v>0.08</x:v>
      </x:c>
      <x:c r="K143" s="5" t="str">
        <x:v>NONE</x:v>
      </x:c>
      <x:c r="L143" s="10" t="n">
        <x:v>0</x:v>
      </x:c>
      <x:c r="M143" s="5" t="n">
        <x:v>1</x:v>
      </x:c>
      <x:c r="N143" s="5" t="str">
        <x:v>ALARM</x:v>
      </x:c>
      <x:c r="O143" s="11" t="str">
        <x:f>LEFT(B143,7)</x:f>
        <x:v>2026-04</x:v>
      </x:c>
    </x:row>
    <x:row r="144">
      <x:c r="A144" s="5" t="str">
        <x:v>OP00143</x:v>
      </x:c>
      <x:c r="B144" s="5" t="str">
        <x:v>2026-04-15 16:00:00</x:v>
      </x:c>
      <x:c r="C144" s="5" t="str">
        <x:v>S003</x:v>
      </x:c>
      <x:c r="D144" s="5" t="str">
        <x:v>A009</x:v>
      </x:c>
      <x:c r="E144" s="5" t="str">
        <x:v>DAY</x:v>
      </x:c>
      <x:c r="F144" s="9" t="n">
        <x:v>505.97</x:v>
      </x:c>
      <x:c r="G144" s="9" t="n">
        <x:v>632620.6</x:v>
      </x:c>
      <x:c r="H144" s="9" t="n">
        <x:v>0.417</x:v>
      </x:c>
      <x:c r="I144" s="9" t="n">
        <x:v>97.05</x:v>
      </x:c>
      <x:c r="J144" s="9" t="n">
        <x:v>0.05</x:v>
      </x:c>
      <x:c r="K144" s="5" t="str">
        <x:v>NONE</x:v>
      </x:c>
      <x:c r="L144" s="10" t="n">
        <x:v>0</x:v>
      </x:c>
      <x:c r="M144" s="5" t="n">
        <x:v>0</x:v>
      </x:c>
      <x:c r="N144" s="5" t="str">
        <x:v>NORMAL</x:v>
      </x:c>
      <x:c r="O144" s="11" t="str">
        <x:f>LEFT(B144,7)</x:f>
        <x:v>2026-04</x:v>
      </x:c>
    </x:row>
    <x:row r="145">
      <x:c r="A145" s="5" t="str">
        <x:v>OP00144</x:v>
      </x:c>
      <x:c r="B145" s="5" t="str">
        <x:v>2026-04-17 20:00:00</x:v>
      </x:c>
      <x:c r="C145" s="5" t="str">
        <x:v>S004</x:v>
      </x:c>
      <x:c r="D145" s="5" t="str">
        <x:v>A012</x:v>
      </x:c>
      <x:c r="E145" s="5" t="str">
        <x:v>NIGHT</x:v>
      </x:c>
      <x:c r="F145" s="9" t="n">
        <x:v>234.55</x:v>
      </x:c>
      <x:c r="G145" s="9" t="n">
        <x:v>324911.14</x:v>
      </x:c>
      <x:c r="H145" s="9" t="n">
        <x:v>0.143</x:v>
      </x:c>
      <x:c r="I145" s="9" t="n">
        <x:v>97.13</x:v>
      </x:c>
      <x:c r="J145" s="9" t="n">
        <x:v>0.28</x:v>
      </x:c>
      <x:c r="K145" s="5" t="str">
        <x:v>INSPECTION</x:v>
      </x:c>
      <x:c r="L145" s="10" t="n">
        <x:v>4252.39</x:v>
      </x:c>
      <x:c r="M145" s="5" t="n">
        <x:v>0</x:v>
      </x:c>
      <x:c r="N145" s="5" t="str">
        <x:v>NORMAL</x:v>
      </x:c>
      <x:c r="O145" s="11" t="str">
        <x:f>LEFT(B145,7)</x:f>
        <x:v>2026-04</x:v>
      </x:c>
    </x:row>
    <x:row r="146">
      <x:c r="A146" s="5" t="str">
        <x:v>OP00145</x:v>
      </x:c>
      <x:c r="B146" s="5" t="str">
        <x:v>2026-04-19 00:00:00</x:v>
      </x:c>
      <x:c r="C146" s="5" t="str">
        <x:v>S001</x:v>
      </x:c>
      <x:c r="D146" s="5" t="str">
        <x:v>A001</x:v>
      </x:c>
      <x:c r="E146" s="5" t="str">
        <x:v>NIGHT</x:v>
      </x:c>
      <x:c r="F146" s="9" t="n">
        <x:v>421.37</x:v>
      </x:c>
      <x:c r="G146" s="9" t="n">
        <x:v>568622.03</x:v>
      </x:c>
      <x:c r="H146" s="9" t="n">
        <x:v>0.385</x:v>
      </x:c>
      <x:c r="I146" s="9" t="n">
        <x:v>97.95</x:v>
      </x:c>
      <x:c r="J146" s="9" t="n">
        <x:v>0.12</x:v>
      </x:c>
      <x:c r="K146" s="5" t="str">
        <x:v>NONE</x:v>
      </x:c>
      <x:c r="L146" s="10" t="n">
        <x:v>0</x:v>
      </x:c>
      <x:c r="M146" s="5" t="n">
        <x:v>0</x:v>
      </x:c>
      <x:c r="N146" s="5" t="str">
        <x:v>NORMAL</x:v>
      </x:c>
      <x:c r="O146" s="11" t="str">
        <x:f>LEFT(B146,7)</x:f>
        <x:v>2026-04</x:v>
      </x:c>
    </x:row>
    <x:row r="147">
      <x:c r="A147" s="5" t="str">
        <x:v>OP00146</x:v>
      </x:c>
      <x:c r="B147" s="5" t="str">
        <x:v>2026-04-21 04:00:00</x:v>
      </x:c>
      <x:c r="C147" s="5" t="str">
        <x:v>S002</x:v>
      </x:c>
      <x:c r="D147" s="5" t="str">
        <x:v>A004</x:v>
      </x:c>
      <x:c r="E147" s="5" t="str">
        <x:v>NIGHT</x:v>
      </x:c>
      <x:c r="F147" s="9" t="n">
        <x:v>93.51</x:v>
      </x:c>
      <x:c r="G147" s="9" t="n">
        <x:v>121275.54</x:v>
      </x:c>
      <x:c r="H147" s="9" t="n">
        <x:v>0.58</x:v>
      </x:c>
      <x:c r="I147" s="9" t="n">
        <x:v>96.5</x:v>
      </x:c>
      <x:c r="J147" s="9" t="n">
        <x:v>3.36</x:v>
      </x:c>
      <x:c r="K147" s="5" t="str">
        <x:v>CORRECTIVE</x:v>
      </x:c>
      <x:c r="L147" s="10" t="n">
        <x:v>53249.31</x:v>
      </x:c>
      <x:c r="M147" s="5" t="n">
        <x:v>0</x:v>
      </x:c>
      <x:c r="N147" s="5" t="str">
        <x:v>WATCH</x:v>
      </x:c>
      <x:c r="O147" s="11" t="str">
        <x:f>LEFT(B147,7)</x:f>
        <x:v>2026-04</x:v>
      </x:c>
    </x:row>
    <x:row r="148">
      <x:c r="A148" s="5" t="str">
        <x:v>OP00147</x:v>
      </x:c>
      <x:c r="B148" s="5" t="str">
        <x:v>2026-04-23 08:00:00</x:v>
      </x:c>
      <x:c r="C148" s="5" t="str">
        <x:v>S003</x:v>
      </x:c>
      <x:c r="D148" s="5" t="str">
        <x:v>A007</x:v>
      </x:c>
      <x:c r="E148" s="5" t="str">
        <x:v>DAY</x:v>
      </x:c>
      <x:c r="F148" s="9" t="n">
        <x:v>604.07</x:v>
      </x:c>
      <x:c r="G148" s="9" t="n">
        <x:v>832390.71</x:v>
      </x:c>
      <x:c r="H148" s="9" t="n">
        <x:v>0.161</x:v>
      </x:c>
      <x:c r="I148" s="9" t="n">
        <x:v>96.59</x:v>
      </x:c>
      <x:c r="J148" s="9" t="n">
        <x:v>0.03</x:v>
      </x:c>
      <x:c r="K148" s="5" t="str">
        <x:v>NONE</x:v>
      </x:c>
      <x:c r="L148" s="10" t="n">
        <x:v>0</x:v>
      </x:c>
      <x:c r="M148" s="5" t="n">
        <x:v>0</x:v>
      </x:c>
      <x:c r="N148" s="5" t="str">
        <x:v>NORMAL</x:v>
      </x:c>
      <x:c r="O148" s="11" t="str">
        <x:f>LEFT(B148,7)</x:f>
        <x:v>2026-04</x:v>
      </x:c>
    </x:row>
    <x:row r="149">
      <x:c r="A149" s="5" t="str">
        <x:v>OP00148</x:v>
      </x:c>
      <x:c r="B149" s="5" t="str">
        <x:v>2026-04-25 12:00:00</x:v>
      </x:c>
      <x:c r="C149" s="5" t="str">
        <x:v>S004</x:v>
      </x:c>
      <x:c r="D149" s="5" t="str">
        <x:v>A010</x:v>
      </x:c>
      <x:c r="E149" s="5" t="str">
        <x:v>DAY</x:v>
      </x:c>
      <x:c r="F149" s="9" t="n">
        <x:v>267.89</x:v>
      </x:c>
      <x:c r="G149" s="9" t="n">
        <x:v>345831.81</x:v>
      </x:c>
      <x:c r="H149" s="9" t="n">
        <x:v>0.36</x:v>
      </x:c>
      <x:c r="I149" s="9" t="n">
        <x:v>96.06</x:v>
      </x:c>
      <x:c r="J149" s="9" t="n">
        <x:v>1.23</x:v>
      </x:c>
      <x:c r="K149" s="5" t="str">
        <x:v>PREVENTIVE</x:v>
      </x:c>
      <x:c r="L149" s="10" t="n">
        <x:v>6616.67</x:v>
      </x:c>
      <x:c r="M149" s="5" t="n">
        <x:v>0</x:v>
      </x:c>
      <x:c r="N149" s="5" t="str">
        <x:v>NORMAL</x:v>
      </x:c>
      <x:c r="O149" s="11" t="str">
        <x:f>LEFT(B149,7)</x:f>
        <x:v>2026-04</x:v>
      </x:c>
    </x:row>
    <x:row r="150">
      <x:c r="A150" s="5" t="str">
        <x:v>OP00149</x:v>
      </x:c>
      <x:c r="B150" s="5" t="str">
        <x:v>2026-04-27 16:00:00</x:v>
      </x:c>
      <x:c r="C150" s="5" t="str">
        <x:v>S001</x:v>
      </x:c>
      <x:c r="D150" s="5" t="str">
        <x:v>A002</x:v>
      </x:c>
      <x:c r="E150" s="5" t="str">
        <x:v>DAY</x:v>
      </x:c>
      <x:c r="F150" s="9" t="n">
        <x:v>399.23</x:v>
      </x:c>
      <x:c r="G150" s="9" t="n">
        <x:v>534408.74</x:v>
      </x:c>
      <x:c r="H150" s="9" t="n">
        <x:v>0.213</x:v>
      </x:c>
      <x:c r="I150" s="9" t="n">
        <x:v>96.26</x:v>
      </x:c>
      <x:c r="J150" s="9" t="n">
        <x:v>0.01</x:v>
      </x:c>
      <x:c r="K150" s="5" t="str">
        <x:v>NONE</x:v>
      </x:c>
      <x:c r="L150" s="10" t="n">
        <x:v>0</x:v>
      </x:c>
      <x:c r="M150" s="5" t="n">
        <x:v>0</x:v>
      </x:c>
      <x:c r="N150" s="5" t="str">
        <x:v>NORMAL</x:v>
      </x:c>
      <x:c r="O150" s="11" t="str">
        <x:f>LEFT(B150,7)</x:f>
        <x:v>2026-04</x:v>
      </x:c>
    </x:row>
    <x:row r="151">
      <x:c r="A151" s="5" t="str">
        <x:v>OP00150</x:v>
      </x:c>
      <x:c r="B151" s="5" t="str">
        <x:v>2026-04-29 20:00:00</x:v>
      </x:c>
      <x:c r="C151" s="5" t="str">
        <x:v>S002</x:v>
      </x:c>
      <x:c r="D151" s="5" t="str">
        <x:v>A005</x:v>
      </x:c>
      <x:c r="E151" s="5" t="str">
        <x:v>NIGHT</x:v>
      </x:c>
      <x:c r="F151" s="9" t="n">
        <x:v>82.9</x:v>
      </x:c>
      <x:c r="G151" s="9" t="n">
        <x:v>105392.54</x:v>
      </x:c>
      <x:c r="H151" s="9" t="n">
        <x:v>0.524</x:v>
      </x:c>
      <x:c r="I151" s="9" t="n">
        <x:v>97.99</x:v>
      </x:c>
      <x:c r="J151" s="9" t="n">
        <x:v>0.08</x:v>
      </x:c>
      <x:c r="K151" s="5" t="str">
        <x:v>NONE</x:v>
      </x:c>
      <x:c r="L151" s="10" t="n">
        <x:v>0</x:v>
      </x:c>
      <x:c r="M151" s="5" t="n">
        <x:v>0</x:v>
      </x:c>
      <x:c r="N151" s="5" t="str">
        <x:v>NORMAL</x:v>
      </x:c>
      <x:c r="O151" s="11" t="str">
        <x:f>LEFT(B151,7)</x:f>
        <x:v>2026-04</x:v>
      </x:c>
    </x:row>
    <x:row r="152">
      <x:c r="A152" s="5" t="str">
        <x:v>OP00151</x:v>
      </x:c>
      <x:c r="B152" s="5" t="str">
        <x:v>2026-05-01 00:00:00</x:v>
      </x:c>
      <x:c r="C152" s="5" t="str">
        <x:v>S003</x:v>
      </x:c>
      <x:c r="D152" s="5" t="str">
        <x:v>A008</x:v>
      </x:c>
      <x:c r="E152" s="5" t="str">
        <x:v>NIGHT</x:v>
      </x:c>
      <x:c r="F152" s="9" t="n">
        <x:v>661.79</x:v>
      </x:c>
      <x:c r="G152" s="9" t="n">
        <x:v>896092.68</x:v>
      </x:c>
      <x:c r="H152" s="9" t="n">
        <x:v>0.546</x:v>
      </x:c>
      <x:c r="I152" s="9" t="n">
        <x:v>97.86</x:v>
      </x:c>
      <x:c r="J152" s="9" t="n">
        <x:v>0.15</x:v>
      </x:c>
      <x:c r="K152" s="5" t="str">
        <x:v>NONE</x:v>
      </x:c>
      <x:c r="L152" s="10" t="n">
        <x:v>0</x:v>
      </x:c>
      <x:c r="M152" s="5" t="n">
        <x:v>0</x:v>
      </x:c>
      <x:c r="N152" s="5" t="str">
        <x:v>NORMAL</x:v>
      </x:c>
      <x:c r="O152" s="11" t="str">
        <x:f>LEFT(B152,7)</x:f>
        <x:v>2026-05</x:v>
      </x:c>
    </x:row>
    <x:row r="153">
      <x:c r="A153" s="5" t="str">
        <x:v>OP00152</x:v>
      </x:c>
      <x:c r="B153" s="5" t="str">
        <x:v>2026-05-03 04:00:00</x:v>
      </x:c>
      <x:c r="C153" s="5" t="str">
        <x:v>S004</x:v>
      </x:c>
      <x:c r="D153" s="5" t="str">
        <x:v>A011</x:v>
      </x:c>
      <x:c r="E153" s="5" t="str">
        <x:v>NIGHT</x:v>
      </x:c>
      <x:c r="F153" s="9" t="n">
        <x:v>208.57</x:v>
      </x:c>
      <x:c r="G153" s="9" t="n">
        <x:v>285101.12</x:v>
      </x:c>
      <x:c r="H153" s="9" t="n">
        <x:v>0.169</x:v>
      </x:c>
      <x:c r="I153" s="9" t="n">
        <x:v>97.72</x:v>
      </x:c>
      <x:c r="J153" s="9" t="n">
        <x:v>0.03</x:v>
      </x:c>
      <x:c r="K153" s="5" t="str">
        <x:v>NONE</x:v>
      </x:c>
      <x:c r="L153" s="10" t="n">
        <x:v>0</x:v>
      </x:c>
      <x:c r="M153" s="5" t="n">
        <x:v>0</x:v>
      </x:c>
      <x:c r="N153" s="5" t="str">
        <x:v>NORMAL</x:v>
      </x:c>
      <x:c r="O153" s="11" t="str">
        <x:f>LEFT(B153,7)</x:f>
        <x:v>2026-05</x:v>
      </x:c>
    </x:row>
    <x:row r="154">
      <x:c r="A154" s="5" t="str">
        <x:v>OP00153</x:v>
      </x:c>
      <x:c r="B154" s="5" t="str">
        <x:v>2026-05-05 08:00:00</x:v>
      </x:c>
      <x:c r="C154" s="5" t="str">
        <x:v>S001</x:v>
      </x:c>
      <x:c r="D154" s="5" t="str">
        <x:v>A003</x:v>
      </x:c>
      <x:c r="E154" s="5" t="str">
        <x:v>DAY</x:v>
      </x:c>
      <x:c r="F154" s="9" t="n">
        <x:v>453.06</x:v>
      </x:c>
      <x:c r="G154" s="9" t="n">
        <x:v>599530.65</x:v>
      </x:c>
      <x:c r="H154" s="9" t="n">
        <x:v>0.275</x:v>
      </x:c>
      <x:c r="I154" s="9" t="n">
        <x:v>95.97</x:v>
      </x:c>
      <x:c r="J154" s="9" t="n">
        <x:v>0.09</x:v>
      </x:c>
      <x:c r="K154" s="5" t="str">
        <x:v>NONE</x:v>
      </x:c>
      <x:c r="L154" s="10" t="n">
        <x:v>0</x:v>
      </x:c>
      <x:c r="M154" s="5" t="n">
        <x:v>0</x:v>
      </x:c>
      <x:c r="N154" s="5" t="str">
        <x:v>NORMAL</x:v>
      </x:c>
      <x:c r="O154" s="11" t="str">
        <x:f>LEFT(B154,7)</x:f>
        <x:v>2026-05</x:v>
      </x:c>
    </x:row>
    <x:row r="155">
      <x:c r="A155" s="5" t="str">
        <x:v>OP00154</x:v>
      </x:c>
      <x:c r="B155" s="5" t="str">
        <x:v>2026-05-07 12:00:00</x:v>
      </x:c>
      <x:c r="C155" s="5" t="str">
        <x:v>S002</x:v>
      </x:c>
      <x:c r="D155" s="5" t="str">
        <x:v>A006</x:v>
      </x:c>
      <x:c r="E155" s="5" t="str">
        <x:v>DAY</x:v>
      </x:c>
      <x:c r="F155" s="9" t="n">
        <x:v>101.12</x:v>
      </x:c>
      <x:c r="G155" s="9" t="n">
        <x:v>131924.28</x:v>
      </x:c>
      <x:c r="H155" s="9" t="n">
        <x:v>0.369</x:v>
      </x:c>
      <x:c r="I155" s="9" t="n">
        <x:v>98.14</x:v>
      </x:c>
      <x:c r="J155" s="9" t="n">
        <x:v>0.14</x:v>
      </x:c>
      <x:c r="K155" s="5" t="str">
        <x:v>NONE</x:v>
      </x:c>
      <x:c r="L155" s="10" t="n">
        <x:v>0</x:v>
      </x:c>
      <x:c r="M155" s="5" t="n">
        <x:v>0</x:v>
      </x:c>
      <x:c r="N155" s="5" t="str">
        <x:v>NORMAL</x:v>
      </x:c>
      <x:c r="O155" s="11" t="str">
        <x:f>LEFT(B155,7)</x:f>
        <x:v>2026-05</x:v>
      </x:c>
    </x:row>
    <x:row r="156">
      <x:c r="A156" s="5" t="str">
        <x:v>OP00155</x:v>
      </x:c>
      <x:c r="B156" s="5" t="str">
        <x:v>2026-05-09 16:00:00</x:v>
      </x:c>
      <x:c r="C156" s="5" t="str">
        <x:v>S003</x:v>
      </x:c>
      <x:c r="D156" s="5" t="str">
        <x:v>A009</x:v>
      </x:c>
      <x:c r="E156" s="5" t="str">
        <x:v>DAY</x:v>
      </x:c>
      <x:c r="F156" s="9" t="n">
        <x:v>524.53</x:v>
      </x:c>
      <x:c r="G156" s="9" t="n">
        <x:v>681057.24</x:v>
      </x:c>
      <x:c r="H156" s="9" t="n">
        <x:v>0.629</x:v>
      </x:c>
      <x:c r="I156" s="9" t="n">
        <x:v>95.65</x:v>
      </x:c>
      <x:c r="J156" s="9" t="n">
        <x:v>0.43</x:v>
      </x:c>
      <x:c r="K156" s="5" t="str">
        <x:v>INSPECTION</x:v>
      </x:c>
      <x:c r="L156" s="10" t="n">
        <x:v>1414.83</x:v>
      </x:c>
      <x:c r="M156" s="5" t="n">
        <x:v>0</x:v>
      </x:c>
      <x:c r="N156" s="5" t="str">
        <x:v>NORMAL</x:v>
      </x:c>
      <x:c r="O156" s="11" t="str">
        <x:f>LEFT(B156,7)</x:f>
        <x:v>2026-05</x:v>
      </x:c>
    </x:row>
    <x:row r="157">
      <x:c r="A157" s="5" t="str">
        <x:v>OP00156</x:v>
      </x:c>
      <x:c r="B157" s="5" t="str">
        <x:v>2026-05-11 20:00:00</x:v>
      </x:c>
      <x:c r="C157" s="5" t="str">
        <x:v>S004</x:v>
      </x:c>
      <x:c r="D157" s="5" t="str">
        <x:v>A012</x:v>
      </x:c>
      <x:c r="E157" s="5" t="str">
        <x:v>NIGHT</x:v>
      </x:c>
      <x:c r="F157" s="9" t="n">
        <x:v>231.16</x:v>
      </x:c>
      <x:c r="G157" s="9" t="n">
        <x:v>320698.04</x:v>
      </x:c>
      <x:c r="H157" s="9" t="n">
        <x:v>0.144</x:v>
      </x:c>
      <x:c r="I157" s="9" t="n">
        <x:v>98.24</x:v>
      </x:c>
      <x:c r="J157" s="9" t="n">
        <x:v>0.15</x:v>
      </x:c>
      <x:c r="K157" s="5" t="str">
        <x:v>NONE</x:v>
      </x:c>
      <x:c r="L157" s="10" t="n">
        <x:v>0</x:v>
      </x:c>
      <x:c r="M157" s="5" t="n">
        <x:v>0</x:v>
      </x:c>
      <x:c r="N157" s="5" t="str">
        <x:v>NORMAL</x:v>
      </x:c>
      <x:c r="O157" s="11" t="str">
        <x:f>LEFT(B157,7)</x:f>
        <x:v>2026-05</x:v>
      </x:c>
    </x:row>
    <x:row r="158">
      <x:c r="A158" s="5" t="str">
        <x:v>OP00157</x:v>
      </x:c>
      <x:c r="B158" s="5" t="str">
        <x:v>2026-05-13 00:00:00</x:v>
      </x:c>
      <x:c r="C158" s="5" t="str">
        <x:v>S001</x:v>
      </x:c>
      <x:c r="D158" s="5" t="str">
        <x:v>A001</x:v>
      </x:c>
      <x:c r="E158" s="5" t="str">
        <x:v>NIGHT</x:v>
      </x:c>
      <x:c r="F158" s="9" t="n">
        <x:v>378.45</x:v>
      </x:c>
      <x:c r="G158" s="9" t="n">
        <x:v>478526.43</x:v>
      </x:c>
      <x:c r="H158" s="9" t="n">
        <x:v>0.605</x:v>
      </x:c>
      <x:c r="I158" s="9" t="n">
        <x:v>98.7</x:v>
      </x:c>
      <x:c r="J158" s="9" t="n">
        <x:v>0.18</x:v>
      </x:c>
      <x:c r="K158" s="5" t="str">
        <x:v>NONE</x:v>
      </x:c>
      <x:c r="L158" s="10" t="n">
        <x:v>0</x:v>
      </x:c>
      <x:c r="M158" s="5" t="n">
        <x:v>0</x:v>
      </x:c>
      <x:c r="N158" s="5" t="str">
        <x:v>NORMAL</x:v>
      </x:c>
      <x:c r="O158" s="11" t="str">
        <x:f>LEFT(B158,7)</x:f>
        <x:v>2026-05</x:v>
      </x:c>
    </x:row>
    <x:row r="159">
      <x:c r="A159" s="5" t="str">
        <x:v>OP00158</x:v>
      </x:c>
      <x:c r="B159" s="5" t="str">
        <x:v>2026-05-15 04:00:00</x:v>
      </x:c>
      <x:c r="C159" s="5" t="str">
        <x:v>S002</x:v>
      </x:c>
      <x:c r="D159" s="5" t="str">
        <x:v>A004</x:v>
      </x:c>
      <x:c r="E159" s="5" t="str">
        <x:v>NIGHT</x:v>
      </x:c>
      <x:c r="F159" s="9" t="n">
        <x:v>86.8</x:v>
      </x:c>
      <x:c r="G159" s="9" t="n">
        <x:v>121578.41</x:v>
      </x:c>
      <x:c r="H159" s="9" t="n">
        <x:v>0.614</x:v>
      </x:c>
      <x:c r="I159" s="9" t="n">
        <x:v>95.85</x:v>
      </x:c>
      <x:c r="J159" s="9" t="n">
        <x:v>0.16</x:v>
      </x:c>
      <x:c r="K159" s="5" t="str">
        <x:v>NONE</x:v>
      </x:c>
      <x:c r="L159" s="10" t="n">
        <x:v>0</x:v>
      </x:c>
      <x:c r="M159" s="5" t="n">
        <x:v>0</x:v>
      </x:c>
      <x:c r="N159" s="5" t="str">
        <x:v>NORMAL</x:v>
      </x:c>
      <x:c r="O159" s="11" t="str">
        <x:f>LEFT(B159,7)</x:f>
        <x:v>2026-05</x:v>
      </x:c>
    </x:row>
    <x:row r="160">
      <x:c r="A160" s="5" t="str">
        <x:v>OP00159</x:v>
      </x:c>
      <x:c r="B160" s="5" t="str">
        <x:v>2026-05-17 08:00:00</x:v>
      </x:c>
      <x:c r="C160" s="5" t="str">
        <x:v>S003</x:v>
      </x:c>
      <x:c r="D160" s="5" t="str">
        <x:v>A007</x:v>
      </x:c>
      <x:c r="E160" s="5" t="str">
        <x:v>DAY</x:v>
      </x:c>
      <x:c r="F160" s="9" t="n">
        <x:v>581.29</x:v>
      </x:c>
      <x:c r="G160" s="9" t="n">
        <x:v>788381.08</x:v>
      </x:c>
      <x:c r="H160" s="9" t="n">
        <x:v>0.365</x:v>
      </x:c>
      <x:c r="I160" s="9" t="n">
        <x:v>97.11</x:v>
      </x:c>
      <x:c r="J160" s="9" t="n">
        <x:v>0.14</x:v>
      </x:c>
      <x:c r="K160" s="5" t="str">
        <x:v>NONE</x:v>
      </x:c>
      <x:c r="L160" s="10" t="n">
        <x:v>0</x:v>
      </x:c>
      <x:c r="M160" s="5" t="n">
        <x:v>0</x:v>
      </x:c>
      <x:c r="N160" s="5" t="str">
        <x:v>NORMAL</x:v>
      </x:c>
      <x:c r="O160" s="11" t="str">
        <x:f>LEFT(B160,7)</x:f>
        <x:v>2026-05</x:v>
      </x:c>
    </x:row>
    <x:row r="161">
      <x:c r="A161" s="5" t="str">
        <x:v>OP00160</x:v>
      </x:c>
      <x:c r="B161" s="5" t="str">
        <x:v>2026-05-19 12:00:00</x:v>
      </x:c>
      <x:c r="C161" s="5" t="str">
        <x:v>S004</x:v>
      </x:c>
      <x:c r="D161" s="5" t="str">
        <x:v>A010</x:v>
      </x:c>
      <x:c r="E161" s="5" t="str">
        <x:v>DAY</x:v>
      </x:c>
      <x:c r="F161" s="9" t="n">
        <x:v>253.93</x:v>
      </x:c>
      <x:c r="G161" s="9" t="n">
        <x:v>351573.12</x:v>
      </x:c>
      <x:c r="H161" s="9" t="n">
        <x:v>0.354</x:v>
      </x:c>
      <x:c r="I161" s="9" t="n">
        <x:v>97.11</x:v>
      </x:c>
      <x:c r="J161" s="9" t="n">
        <x:v>0.22</x:v>
      </x:c>
      <x:c r="K161" s="5" t="str">
        <x:v>NONE</x:v>
      </x:c>
      <x:c r="L161" s="10" t="n">
        <x:v>0</x:v>
      </x:c>
      <x:c r="M161" s="5" t="n">
        <x:v>0</x:v>
      </x:c>
      <x:c r="N161" s="5" t="str">
        <x:v>NORMAL</x:v>
      </x:c>
      <x:c r="O161" s="11" t="str">
        <x:f>LEFT(B161,7)</x:f>
        <x:v>2026-05</x:v>
      </x:c>
    </x:row>
    <x:row r="162">
      <x:c r="A162" s="5" t="str">
        <x:v>OP00161</x:v>
      </x:c>
      <x:c r="B162" s="5" t="str">
        <x:v>2026-05-21 16:00:00</x:v>
      </x:c>
      <x:c r="C162" s="5" t="str">
        <x:v>S001</x:v>
      </x:c>
      <x:c r="D162" s="5" t="str">
        <x:v>A002</x:v>
      </x:c>
      <x:c r="E162" s="5" t="str">
        <x:v>DAY</x:v>
      </x:c>
      <x:c r="F162" s="9" t="n">
        <x:v>452.51</x:v>
      </x:c>
      <x:c r="G162" s="9" t="n">
        <x:v>630443.99</x:v>
      </x:c>
      <x:c r="H162" s="9" t="n">
        <x:v>0.238</x:v>
      </x:c>
      <x:c r="I162" s="9" t="n">
        <x:v>98.43</x:v>
      </x:c>
      <x:c r="J162" s="9" t="n">
        <x:v>0.24</x:v>
      </x:c>
      <x:c r="K162" s="5" t="str">
        <x:v>NONE</x:v>
      </x:c>
      <x:c r="L162" s="10" t="n">
        <x:v>0</x:v>
      </x:c>
      <x:c r="M162" s="5" t="n">
        <x:v>0</x:v>
      </x:c>
      <x:c r="N162" s="5" t="str">
        <x:v>NORMAL</x:v>
      </x:c>
      <x:c r="O162" s="11" t="str">
        <x:f>LEFT(B162,7)</x:f>
        <x:v>2026-05</x:v>
      </x:c>
    </x:row>
    <x:row r="163">
      <x:c r="A163" s="5" t="str">
        <x:v>OP00162</x:v>
      </x:c>
      <x:c r="B163" s="5" t="str">
        <x:v>2026-05-23 20:00:00</x:v>
      </x:c>
      <x:c r="C163" s="5" t="str">
        <x:v>S002</x:v>
      </x:c>
      <x:c r="D163" s="5" t="str">
        <x:v>A005</x:v>
      </x:c>
      <x:c r="E163" s="5" t="str">
        <x:v>NIGHT</x:v>
      </x:c>
      <x:c r="F163" s="9" t="n">
        <x:v>107.54</x:v>
      </x:c>
      <x:c r="G163" s="9" t="n">
        <x:v>134506.45</x:v>
      </x:c>
      <x:c r="H163" s="9" t="n">
        <x:v>0.691</x:v>
      </x:c>
      <x:c r="I163" s="9" t="n">
        <x:v>98.18</x:v>
      </x:c>
      <x:c r="J163" s="9" t="n">
        <x:v>1.74</x:v>
      </x:c>
      <x:c r="K163" s="5" t="str">
        <x:v>PREVENTIVE</x:v>
      </x:c>
      <x:c r="L163" s="10" t="n">
        <x:v>7764.91</x:v>
      </x:c>
      <x:c r="M163" s="5" t="n">
        <x:v>0</x:v>
      </x:c>
      <x:c r="N163" s="5" t="str">
        <x:v>NORMAL</x:v>
      </x:c>
      <x:c r="O163" s="11" t="str">
        <x:f>LEFT(B163,7)</x:f>
        <x:v>2026-05</x:v>
      </x:c>
    </x:row>
    <x:row r="164">
      <x:c r="A164" s="5" t="str">
        <x:v>OP00163</x:v>
      </x:c>
      <x:c r="B164" s="5" t="str">
        <x:v>2026-05-25 00:00:00</x:v>
      </x:c>
      <x:c r="C164" s="5" t="str">
        <x:v>S003</x:v>
      </x:c>
      <x:c r="D164" s="5" t="str">
        <x:v>A008</x:v>
      </x:c>
      <x:c r="E164" s="5" t="str">
        <x:v>NIGHT</x:v>
      </x:c>
      <x:c r="F164" s="9" t="n">
        <x:v>634.55</x:v>
      </x:c>
      <x:c r="G164" s="9" t="n">
        <x:v>831404.83</x:v>
      </x:c>
      <x:c r="H164" s="9" t="n">
        <x:v>0.669</x:v>
      </x:c>
      <x:c r="I164" s="9" t="n">
        <x:v>97.98</x:v>
      </x:c>
      <x:c r="J164" s="9" t="n">
        <x:v>0.18</x:v>
      </x:c>
      <x:c r="K164" s="5" t="str">
        <x:v>NONE</x:v>
      </x:c>
      <x:c r="L164" s="10" t="n">
        <x:v>0</x:v>
      </x:c>
      <x:c r="M164" s="5" t="n">
        <x:v>0</x:v>
      </x:c>
      <x:c r="N164" s="5" t="str">
        <x:v>NORMAL</x:v>
      </x:c>
      <x:c r="O164" s="11" t="str">
        <x:f>LEFT(B164,7)</x:f>
        <x:v>2026-05</x:v>
      </x:c>
    </x:row>
    <x:row r="165">
      <x:c r="A165" s="5" t="str">
        <x:v>OP00164</x:v>
      </x:c>
      <x:c r="B165" s="5" t="str">
        <x:v>2026-05-27 04:00:00</x:v>
      </x:c>
      <x:c r="C165" s="5" t="str">
        <x:v>S004</x:v>
      </x:c>
      <x:c r="D165" s="5" t="str">
        <x:v>A011</x:v>
      </x:c>
      <x:c r="E165" s="5" t="str">
        <x:v>NIGHT</x:v>
      </x:c>
      <x:c r="F165" s="9" t="n">
        <x:v>212.03</x:v>
      </x:c>
      <x:c r="G165" s="9" t="n">
        <x:v>276776.32</x:v>
      </x:c>
      <x:c r="H165" s="9" t="n">
        <x:v>0.694</x:v>
      </x:c>
      <x:c r="I165" s="9" t="n">
        <x:v>96.71</x:v>
      </x:c>
      <x:c r="J165" s="9" t="n">
        <x:v>0.22</x:v>
      </x:c>
      <x:c r="K165" s="5" t="str">
        <x:v>NONE</x:v>
      </x:c>
      <x:c r="L165" s="10" t="n">
        <x:v>0</x:v>
      </x:c>
      <x:c r="M165" s="5" t="n">
        <x:v>0</x:v>
      </x:c>
      <x:c r="N165" s="5" t="str">
        <x:v>NORMAL</x:v>
      </x:c>
      <x:c r="O165" s="11" t="str">
        <x:f>LEFT(B165,7)</x:f>
        <x:v>2026-05</x:v>
      </x:c>
    </x:row>
    <x:row r="166">
      <x:c r="A166" s="5" t="str">
        <x:v>OP00165</x:v>
      </x:c>
      <x:c r="B166" s="5" t="str">
        <x:v>2026-05-29 08:00:00</x:v>
      </x:c>
      <x:c r="C166" s="5" t="str">
        <x:v>S001</x:v>
      </x:c>
      <x:c r="D166" s="5" t="str">
        <x:v>A003</x:v>
      </x:c>
      <x:c r="E166" s="5" t="str">
        <x:v>DAY</x:v>
      </x:c>
      <x:c r="F166" s="9" t="n">
        <x:v>374.85</x:v>
      </x:c>
      <x:c r="G166" s="9" t="n">
        <x:v>487895.75</x:v>
      </x:c>
      <x:c r="H166" s="9" t="n">
        <x:v>0.433</x:v>
      </x:c>
      <x:c r="I166" s="9" t="n">
        <x:v>96.6</x:v>
      </x:c>
      <x:c r="J166" s="9" t="n">
        <x:v>0.07</x:v>
      </x:c>
      <x:c r="K166" s="5" t="str">
        <x:v>NONE</x:v>
      </x:c>
      <x:c r="L166" s="10" t="n">
        <x:v>0</x:v>
      </x:c>
      <x:c r="M166" s="5" t="n">
        <x:v>0</x:v>
      </x:c>
      <x:c r="N166" s="5" t="str">
        <x:v>NORMAL</x:v>
      </x:c>
      <x:c r="O166" s="11" t="str">
        <x:f>LEFT(B166,7)</x:f>
        <x:v>2026-05</x:v>
      </x:c>
    </x:row>
    <x:row r="167">
      <x:c r="A167" s="5" t="str">
        <x:v>OP00166</x:v>
      </x:c>
      <x:c r="B167" s="5" t="str">
        <x:v>2026-05-31 12:00:00</x:v>
      </x:c>
      <x:c r="C167" s="5" t="str">
        <x:v>S002</x:v>
      </x:c>
      <x:c r="D167" s="5" t="str">
        <x:v>A006</x:v>
      </x:c>
      <x:c r="E167" s="5" t="str">
        <x:v>DAY</x:v>
      </x:c>
      <x:c r="F167" s="9" t="n">
        <x:v>103.15</x:v>
      </x:c>
      <x:c r="G167" s="9" t="n">
        <x:v>129979.57</x:v>
      </x:c>
      <x:c r="H167" s="9" t="n">
        <x:v>0.19</x:v>
      </x:c>
      <x:c r="I167" s="9" t="n">
        <x:v>96.12</x:v>
      </x:c>
      <x:c r="J167" s="9" t="n">
        <x:v>0.42</x:v>
      </x:c>
      <x:c r="K167" s="5" t="str">
        <x:v>INSPECTION</x:v>
      </x:c>
      <x:c r="L167" s="10" t="n">
        <x:v>3156.61</x:v>
      </x:c>
      <x:c r="M167" s="5" t="n">
        <x:v>0</x:v>
      </x:c>
      <x:c r="N167" s="5" t="str">
        <x:v>NORMAL</x:v>
      </x:c>
      <x:c r="O167" s="11" t="str">
        <x:f>LEFT(B167,7)</x:f>
        <x:v>2026-05</x:v>
      </x:c>
    </x:row>
    <x:row r="168">
      <x:c r="A168" s="5" t="str">
        <x:v>OP00167</x:v>
      </x:c>
      <x:c r="B168" s="5" t="str">
        <x:v>2026-06-02 16:00:00</x:v>
      </x:c>
      <x:c r="C168" s="5" t="str">
        <x:v>S003</x:v>
      </x:c>
      <x:c r="D168" s="5" t="str">
        <x:v>A009</x:v>
      </x:c>
      <x:c r="E168" s="5" t="str">
        <x:v>DAY</x:v>
      </x:c>
      <x:c r="F168" s="9" t="n">
        <x:v>676.31</x:v>
      </x:c>
      <x:c r="G168" s="9" t="n">
        <x:v>849439.41</x:v>
      </x:c>
      <x:c r="H168" s="9" t="n">
        <x:v>0.663</x:v>
      </x:c>
      <x:c r="I168" s="9" t="n">
        <x:v>96.63</x:v>
      </x:c>
      <x:c r="J168" s="9" t="n">
        <x:v>0.07</x:v>
      </x:c>
      <x:c r="K168" s="5" t="str">
        <x:v>NONE</x:v>
      </x:c>
      <x:c r="L168" s="10" t="n">
        <x:v>0</x:v>
      </x:c>
      <x:c r="M168" s="5" t="n">
        <x:v>0</x:v>
      </x:c>
      <x:c r="N168" s="5" t="str">
        <x:v>NORMAL</x:v>
      </x:c>
      <x:c r="O168" s="11" t="str">
        <x:f>LEFT(B168,7)</x:f>
        <x:v>2026-06</x:v>
      </x:c>
    </x:row>
    <x:row r="169">
      <x:c r="A169" s="5" t="str">
        <x:v>OP00168</x:v>
      </x:c>
      <x:c r="B169" s="5" t="str">
        <x:v>2026-06-04 20:00:00</x:v>
      </x:c>
      <x:c r="C169" s="5" t="str">
        <x:v>S004</x:v>
      </x:c>
      <x:c r="D169" s="5" t="str">
        <x:v>A012</x:v>
      </x:c>
      <x:c r="E169" s="5" t="str">
        <x:v>NIGHT</x:v>
      </x:c>
      <x:c r="F169" s="9" t="n">
        <x:v>221.38</x:v>
      </x:c>
      <x:c r="G169" s="9" t="n">
        <x:v>281741.01</x:v>
      </x:c>
      <x:c r="H169" s="9" t="n">
        <x:v>0.24</x:v>
      </x:c>
      <x:c r="I169" s="9" t="n">
        <x:v>98.75</x:v>
      </x:c>
      <x:c r="J169" s="9" t="n">
        <x:v>0.24</x:v>
      </x:c>
      <x:c r="K169" s="5" t="str">
        <x:v>NONE</x:v>
      </x:c>
      <x:c r="L169" s="10" t="n">
        <x:v>0</x:v>
      </x:c>
      <x:c r="M169" s="5" t="n">
        <x:v>0</x:v>
      </x:c>
      <x:c r="N169" s="5" t="str">
        <x:v>NORMAL</x:v>
      </x:c>
      <x:c r="O169" s="11" t="str">
        <x:f>LEFT(B169,7)</x:f>
        <x:v>2026-06</x:v>
      </x:c>
    </x:row>
    <x:row r="170">
      <x:c r="A170" s="5" t="str">
        <x:v>OP00169</x:v>
      </x:c>
      <x:c r="B170" s="5" t="str">
        <x:v>2026-06-06 00:00:00</x:v>
      </x:c>
      <x:c r="C170" s="5" t="str">
        <x:v>S001</x:v>
      </x:c>
      <x:c r="D170" s="5" t="str">
        <x:v>A001</x:v>
      </x:c>
      <x:c r="E170" s="5" t="str">
        <x:v>NIGHT</x:v>
      </x:c>
      <x:c r="F170" s="9" t="n">
        <x:v>403.02</x:v>
      </x:c>
      <x:c r="G170" s="9" t="n">
        <x:v>555317.22</x:v>
      </x:c>
      <x:c r="H170" s="9" t="n">
        <x:v>0.529</x:v>
      </x:c>
      <x:c r="I170" s="9" t="n">
        <x:v>97.16</x:v>
      </x:c>
      <x:c r="J170" s="9" t="n">
        <x:v>1.29</x:v>
      </x:c>
      <x:c r="K170" s="5" t="str">
        <x:v>PREVENTIVE</x:v>
      </x:c>
      <x:c r="L170" s="10" t="n">
        <x:v>4191.96</x:v>
      </x:c>
      <x:c r="M170" s="5" t="n">
        <x:v>0</x:v>
      </x:c>
      <x:c r="N170" s="5" t="str">
        <x:v>NORMAL</x:v>
      </x:c>
      <x:c r="O170" s="11" t="str">
        <x:f>LEFT(B170,7)</x:f>
        <x:v>2026-06</x:v>
      </x:c>
    </x:row>
    <x:row r="171">
      <x:c r="A171" s="5" t="str">
        <x:v>OP00170</x:v>
      </x:c>
      <x:c r="B171" s="5" t="str">
        <x:v>2026-06-08 04:00:00</x:v>
      </x:c>
      <x:c r="C171" s="5" t="str">
        <x:v>S002</x:v>
      </x:c>
      <x:c r="D171" s="5" t="str">
        <x:v>A004</x:v>
      </x:c>
      <x:c r="E171" s="5" t="str">
        <x:v>NIGHT</x:v>
      </x:c>
      <x:c r="F171" s="9" t="n">
        <x:v>90.38</x:v>
      </x:c>
      <x:c r="G171" s="9" t="n">
        <x:v>122529.51</x:v>
      </x:c>
      <x:c r="H171" s="9" t="n">
        <x:v>0.61</x:v>
      </x:c>
      <x:c r="I171" s="9" t="n">
        <x:v>96.96</x:v>
      </x:c>
      <x:c r="J171" s="9" t="n">
        <x:v>0.14</x:v>
      </x:c>
      <x:c r="K171" s="5" t="str">
        <x:v>NONE</x:v>
      </x:c>
      <x:c r="L171" s="10" t="n">
        <x:v>0</x:v>
      </x:c>
      <x:c r="M171" s="5" t="n">
        <x:v>0</x:v>
      </x:c>
      <x:c r="N171" s="5" t="str">
        <x:v>NORMAL</x:v>
      </x:c>
      <x:c r="O171" s="11" t="str">
        <x:f>LEFT(B171,7)</x:f>
        <x:v>2026-06</x:v>
      </x:c>
    </x:row>
    <x:row r="172">
      <x:c r="A172" s="5" t="str">
        <x:v>OP00171</x:v>
      </x:c>
      <x:c r="B172" s="5" t="str">
        <x:v>2026-06-10 08:00:00</x:v>
      </x:c>
      <x:c r="C172" s="5" t="str">
        <x:v>S003</x:v>
      </x:c>
      <x:c r="D172" s="5" t="str">
        <x:v>A007</x:v>
      </x:c>
      <x:c r="E172" s="5" t="str">
        <x:v>DAY</x:v>
      </x:c>
      <x:c r="F172" s="9" t="n">
        <x:v>594.9</x:v>
      </x:c>
      <x:c r="G172" s="9" t="n">
        <x:v>833780.79</x:v>
      </x:c>
      <x:c r="H172" s="9" t="n">
        <x:v>0.342</x:v>
      </x:c>
      <x:c r="I172" s="9" t="n">
        <x:v>97.61</x:v>
      </x:c>
      <x:c r="J172" s="9" t="n">
        <x:v>0.04</x:v>
      </x:c>
      <x:c r="K172" s="5" t="str">
        <x:v>NONE</x:v>
      </x:c>
      <x:c r="L172" s="10" t="n">
        <x:v>0</x:v>
      </x:c>
      <x:c r="M172" s="5" t="n">
        <x:v>0</x:v>
      </x:c>
      <x:c r="N172" s="5" t="str">
        <x:v>NORMAL</x:v>
      </x:c>
      <x:c r="O172" s="11" t="str">
        <x:f>LEFT(B172,7)</x:f>
        <x:v>2026-06</x:v>
      </x:c>
    </x:row>
    <x:row r="173">
      <x:c r="A173" s="5" t="str">
        <x:v>OP00172</x:v>
      </x:c>
      <x:c r="B173" s="5" t="str">
        <x:v>2026-06-12 12:00:00</x:v>
      </x:c>
      <x:c r="C173" s="5" t="str">
        <x:v>S004</x:v>
      </x:c>
      <x:c r="D173" s="5" t="str">
        <x:v>A010</x:v>
      </x:c>
      <x:c r="E173" s="5" t="str">
        <x:v>DAY</x:v>
      </x:c>
      <x:c r="F173" s="9" t="n">
        <x:v>284.03</x:v>
      </x:c>
      <x:c r="G173" s="9" t="n">
        <x:v>387754.5</x:v>
      </x:c>
      <x:c r="H173" s="9" t="n">
        <x:v>0.685</x:v>
      </x:c>
      <x:c r="I173" s="9" t="n">
        <x:v>95.95</x:v>
      </x:c>
      <x:c r="J173" s="9" t="n">
        <x:v>0.16</x:v>
      </x:c>
      <x:c r="K173" s="5" t="str">
        <x:v>NONE</x:v>
      </x:c>
      <x:c r="L173" s="10" t="n">
        <x:v>0</x:v>
      </x:c>
      <x:c r="M173" s="5" t="n">
        <x:v>0</x:v>
      </x:c>
      <x:c r="N173" s="5" t="str">
        <x:v>NORMAL</x:v>
      </x:c>
      <x:c r="O173" s="11" t="str">
        <x:f>LEFT(B173,7)</x:f>
        <x:v>2026-06</x:v>
      </x:c>
    </x:row>
    <x:row r="174">
      <x:c r="A174" s="5" t="str">
        <x:v>OP00173</x:v>
      </x:c>
      <x:c r="B174" s="5" t="str">
        <x:v>2026-06-14 16:00:00</x:v>
      </x:c>
      <x:c r="C174" s="5" t="str">
        <x:v>S001</x:v>
      </x:c>
      <x:c r="D174" s="5" t="str">
        <x:v>A002</x:v>
      </x:c>
      <x:c r="E174" s="5" t="str">
        <x:v>DAY</x:v>
      </x:c>
      <x:c r="F174" s="9" t="n">
        <x:v>362.44</x:v>
      </x:c>
      <x:c r="G174" s="9" t="n">
        <x:v>464887.76</x:v>
      </x:c>
      <x:c r="H174" s="9" t="n">
        <x:v>0.33</x:v>
      </x:c>
      <x:c r="I174" s="9" t="n">
        <x:v>97.69</x:v>
      </x:c>
      <x:c r="J174" s="9" t="n">
        <x:v>0.13</x:v>
      </x:c>
      <x:c r="K174" s="5" t="str">
        <x:v>NONE</x:v>
      </x:c>
      <x:c r="L174" s="10" t="n">
        <x:v>0</x:v>
      </x:c>
      <x:c r="M174" s="5" t="n">
        <x:v>0</x:v>
      </x:c>
      <x:c r="N174" s="5" t="str">
        <x:v>NORMAL</x:v>
      </x:c>
      <x:c r="O174" s="11" t="str">
        <x:f>LEFT(B174,7)</x:f>
        <x:v>2026-06</x:v>
      </x:c>
    </x:row>
    <x:row r="175">
      <x:c r="A175" s="5" t="str">
        <x:v>OP00174</x:v>
      </x:c>
      <x:c r="B175" s="5" t="str">
        <x:v>2026-06-16 20:00:00</x:v>
      </x:c>
      <x:c r="C175" s="5" t="str">
        <x:v>S002</x:v>
      </x:c>
      <x:c r="D175" s="5" t="str">
        <x:v>A005</x:v>
      </x:c>
      <x:c r="E175" s="5" t="str">
        <x:v>NIGHT</x:v>
      </x:c>
      <x:c r="F175" s="9" t="n">
        <x:v>98.83</x:v>
      </x:c>
      <x:c r="G175" s="9" t="n">
        <x:v>130818.44</x:v>
      </x:c>
      <x:c r="H175" s="9" t="n">
        <x:v>0.495</x:v>
      </x:c>
      <x:c r="I175" s="9" t="n">
        <x:v>97.76</x:v>
      </x:c>
      <x:c r="J175" s="9" t="n">
        <x:v>0.2</x:v>
      </x:c>
      <x:c r="K175" s="5" t="str">
        <x:v>NONE</x:v>
      </x:c>
      <x:c r="L175" s="10" t="n">
        <x:v>0</x:v>
      </x:c>
      <x:c r="M175" s="5" t="n">
        <x:v>0</x:v>
      </x:c>
      <x:c r="N175" s="5" t="str">
        <x:v>NORMAL</x:v>
      </x:c>
      <x:c r="O175" s="11" t="str">
        <x:f>LEFT(B175,7)</x:f>
        <x:v>2026-06</x:v>
      </x:c>
    </x:row>
    <x:row r="176">
      <x:c r="A176" s="5" t="str">
        <x:v>OP00175</x:v>
      </x:c>
      <x:c r="B176" s="5" t="str">
        <x:v>2026-06-18 00:00:00</x:v>
      </x:c>
      <x:c r="C176" s="5" t="str">
        <x:v>S003</x:v>
      </x:c>
      <x:c r="D176" s="5" t="str">
        <x:v>A008</x:v>
      </x:c>
      <x:c r="E176" s="5" t="str">
        <x:v>NIGHT</x:v>
      </x:c>
      <x:c r="F176" s="9" t="n">
        <x:v>519.03</x:v>
      </x:c>
      <x:c r="G176" s="9" t="n">
        <x:v>671984.95</x:v>
      </x:c>
      <x:c r="H176" s="9" t="n">
        <x:v>0.439</x:v>
      </x:c>
      <x:c r="I176" s="9" t="n">
        <x:v>97.54</x:v>
      </x:c>
      <x:c r="J176" s="9" t="n">
        <x:v>6.87</x:v>
      </x:c>
      <x:c r="K176" s="5" t="str">
        <x:v>CORRECTIVE</x:v>
      </x:c>
      <x:c r="L176" s="10" t="n">
        <x:v>24412.16</x:v>
      </x:c>
      <x:c r="M176" s="5" t="n">
        <x:v>0</x:v>
      </x:c>
      <x:c r="N176" s="5" t="str">
        <x:v>WATCH</x:v>
      </x:c>
      <x:c r="O176" s="11" t="str">
        <x:f>LEFT(B176,7)</x:f>
        <x:v>2026-06</x:v>
      </x:c>
    </x:row>
    <x:row r="177">
      <x:c r="A177" s="5" t="str">
        <x:v>OP00176</x:v>
      </x:c>
      <x:c r="B177" s="5" t="str">
        <x:v>2026-06-20 04:00:00</x:v>
      </x:c>
      <x:c r="C177" s="5" t="str">
        <x:v>S004</x:v>
      </x:c>
      <x:c r="D177" s="5" t="str">
        <x:v>A011</x:v>
      </x:c>
      <x:c r="E177" s="5" t="str">
        <x:v>NIGHT</x:v>
      </x:c>
      <x:c r="F177" s="9" t="n">
        <x:v>227.56</x:v>
      </x:c>
      <x:c r="G177" s="9" t="n">
        <x:v>319354.58</x:v>
      </x:c>
      <x:c r="H177" s="9" t="n">
        <x:v>0.356</x:v>
      </x:c>
      <x:c r="I177" s="9" t="n">
        <x:v>96.86</x:v>
      </x:c>
      <x:c r="J177" s="9" t="n">
        <x:v>0.91</x:v>
      </x:c>
      <x:c r="K177" s="5" t="str">
        <x:v>PREVENTIVE</x:v>
      </x:c>
      <x:c r="L177" s="10" t="n">
        <x:v>4160.96</x:v>
      </x:c>
      <x:c r="M177" s="5" t="n">
        <x:v>0</x:v>
      </x:c>
      <x:c r="N177" s="5" t="str">
        <x:v>NORMAL</x:v>
      </x:c>
      <x:c r="O177" s="11" t="str">
        <x:f>LEFT(B177,7)</x:f>
        <x:v>2026-06</x:v>
      </x:c>
    </x:row>
    <x:row r="178">
      <x:c r="A178" s="5" t="str">
        <x:v>OP00177</x:v>
      </x:c>
      <x:c r="B178" s="5" t="str">
        <x:v>2026-06-22 08:00:00</x:v>
      </x:c>
      <x:c r="C178" s="5" t="str">
        <x:v>S001</x:v>
      </x:c>
      <x:c r="D178" s="5" t="str">
        <x:v>A003</x:v>
      </x:c>
      <x:c r="E178" s="5" t="str">
        <x:v>DAY</x:v>
      </x:c>
      <x:c r="F178" s="9" t="n">
        <x:v>423.71</x:v>
      </x:c>
      <x:c r="G178" s="9" t="n">
        <x:v>576365.31</x:v>
      </x:c>
      <x:c r="H178" s="9" t="n">
        <x:v>0.312</x:v>
      </x:c>
      <x:c r="I178" s="9" t="n">
        <x:v>96.3</x:v>
      </x:c>
      <x:c r="J178" s="9" t="n">
        <x:v>1.07</x:v>
      </x:c>
      <x:c r="K178" s="5" t="str">
        <x:v>INSPECTION</x:v>
      </x:c>
      <x:c r="L178" s="10" t="n">
        <x:v>1541.6</x:v>
      </x:c>
      <x:c r="M178" s="5" t="n">
        <x:v>0</x:v>
      </x:c>
      <x:c r="N178" s="5" t="str">
        <x:v>NORMAL</x:v>
      </x:c>
      <x:c r="O178" s="11" t="str">
        <x:f>LEFT(B178,7)</x:f>
        <x:v>2026-06</x:v>
      </x:c>
    </x:row>
    <x:row r="179">
      <x:c r="A179" s="5" t="str">
        <x:v>OP00178</x:v>
      </x:c>
      <x:c r="B179" s="5" t="str">
        <x:v>2026-06-24 12:00:00</x:v>
      </x:c>
      <x:c r="C179" s="5" t="str">
        <x:v>S002</x:v>
      </x:c>
      <x:c r="D179" s="5" t="str">
        <x:v>A006</x:v>
      </x:c>
      <x:c r="E179" s="5" t="str">
        <x:v>DAY</x:v>
      </x:c>
      <x:c r="F179" s="9" t="n">
        <x:v>84.27</x:v>
      </x:c>
      <x:c r="G179" s="9" t="n">
        <x:v>114072.06</x:v>
      </x:c>
      <x:c r="H179" s="9" t="n">
        <x:v>0.496</x:v>
      </x:c>
      <x:c r="I179" s="9" t="n">
        <x:v>97.51</x:v>
      </x:c>
      <x:c r="J179" s="9" t="n">
        <x:v>0.02</x:v>
      </x:c>
      <x:c r="K179" s="5" t="str">
        <x:v>NONE</x:v>
      </x:c>
      <x:c r="L179" s="10" t="n">
        <x:v>0</x:v>
      </x:c>
      <x:c r="M179" s="5" t="n">
        <x:v>0</x:v>
      </x:c>
      <x:c r="N179" s="5" t="str">
        <x:v>NORMAL</x:v>
      </x:c>
      <x:c r="O179" s="11" t="str">
        <x:f>LEFT(B179,7)</x:f>
        <x:v>2026-06</x:v>
      </x:c>
    </x:row>
    <x:row r="180">
      <x:c r="A180" s="5" t="str">
        <x:v>OP00179</x:v>
      </x:c>
      <x:c r="B180" s="5" t="str">
        <x:v>2026-06-26 16:00:00</x:v>
      </x:c>
      <x:c r="C180" s="5" t="str">
        <x:v>S003</x:v>
      </x:c>
      <x:c r="D180" s="5" t="str">
        <x:v>A009</x:v>
      </x:c>
      <x:c r="E180" s="5" t="str">
        <x:v>DAY</x:v>
      </x:c>
      <x:c r="F180" s="9" t="n">
        <x:v>654.1</x:v>
      </x:c>
      <x:c r="G180" s="9" t="n">
        <x:v>901288.26</x:v>
      </x:c>
      <x:c r="H180" s="9" t="n">
        <x:v>0.232</x:v>
      </x:c>
      <x:c r="I180" s="9" t="n">
        <x:v>96.47</x:v>
      </x:c>
      <x:c r="J180" s="9" t="n">
        <x:v>0.24</x:v>
      </x:c>
      <x:c r="K180" s="5" t="str">
        <x:v>NONE</x:v>
      </x:c>
      <x:c r="L180" s="10" t="n">
        <x:v>0</x:v>
      </x:c>
      <x:c r="M180" s="5" t="n">
        <x:v>0</x:v>
      </x:c>
      <x:c r="N180" s="5" t="str">
        <x:v>NORMAL</x:v>
      </x:c>
      <x:c r="O180" s="11" t="str">
        <x:f>LEFT(B180,7)</x:f>
        <x:v>2026-06</x:v>
      </x:c>
    </x:row>
    <x:row r="181">
      <x:c r="A181" s="5" t="str">
        <x:v>OP00180</x:v>
      </x:c>
      <x:c r="B181" s="5" t="str">
        <x:v>2026-06-28 20:00:00</x:v>
      </x:c>
      <x:c r="C181" s="5" t="str">
        <x:v>S004</x:v>
      </x:c>
      <x:c r="D181" s="5" t="str">
        <x:v>A012</x:v>
      </x:c>
      <x:c r="E181" s="5" t="str">
        <x:v>NIGHT</x:v>
      </x:c>
      <x:c r="F181" s="9" t="n">
        <x:v>270.13</x:v>
      </x:c>
      <x:c r="G181" s="9" t="n">
        <x:v>363357.63</x:v>
      </x:c>
      <x:c r="H181" s="9" t="n">
        <x:v>0.65</x:v>
      </x:c>
      <x:c r="I181" s="9" t="n">
        <x:v>97.34</x:v>
      </x:c>
      <x:c r="J181" s="9" t="n">
        <x:v>0.11</x:v>
      </x:c>
      <x:c r="K181" s="5" t="str">
        <x:v>NONE</x:v>
      </x:c>
      <x:c r="L181" s="10" t="n">
        <x:v>0</x:v>
      </x:c>
      <x:c r="M181" s="5" t="n">
        <x:v>0</x:v>
      </x:c>
      <x:c r="N181" s="5" t="str">
        <x:v>NORMAL</x:v>
      </x:c>
      <x:c r="O181" s="11" t="str">
        <x:f>LEFT(B181,7)</x:f>
        <x:v>2026-06</x:v>
      </x:c>
    </x:row>
    <x:row r="182">
      <x:c r="A182" s="5" t="str">
        <x:v>OP00181</x:v>
      </x:c>
      <x:c r="B182" s="5" t="str">
        <x:v>2026-01-01 00:00:00</x:v>
      </x:c>
      <x:c r="C182" s="5" t="str">
        <x:v>S001</x:v>
      </x:c>
      <x:c r="D182" s="5" t="str">
        <x:v>A001</x:v>
      </x:c>
      <x:c r="E182" s="5" t="str">
        <x:v>NIGHT</x:v>
      </x:c>
      <x:c r="F182" s="9" t="n">
        <x:v>423.11</x:v>
      </x:c>
      <x:c r="G182" s="9" t="n">
        <x:v>556204.11</x:v>
      </x:c>
      <x:c r="H182" s="9" t="n">
        <x:v>0.663</x:v>
      </x:c>
      <x:c r="I182" s="9" t="n">
        <x:v>98.77</x:v>
      </x:c>
      <x:c r="J182" s="9" t="n">
        <x:v>0.16</x:v>
      </x:c>
      <x:c r="K182" s="5" t="str">
        <x:v>NONE</x:v>
      </x:c>
      <x:c r="L182" s="10" t="n">
        <x:v>0</x:v>
      </x:c>
      <x:c r="M182" s="5" t="n">
        <x:v>0</x:v>
      </x:c>
      <x:c r="N182" s="5" t="str">
        <x:v>NORMAL</x:v>
      </x:c>
      <x:c r="O182" s="11" t="str">
        <x:f>LEFT(B182,7)</x:f>
        <x:v>2026-01</x:v>
      </x:c>
    </x:row>
    <x:row r="183">
      <x:c r="A183" s="5" t="str">
        <x:v>OP00182</x:v>
      </x:c>
      <x:c r="B183" s="5" t="str">
        <x:v>2026-01-03 04:00:00</x:v>
      </x:c>
      <x:c r="C183" s="5" t="str">
        <x:v>S002</x:v>
      </x:c>
      <x:c r="D183" s="5" t="str">
        <x:v>A004</x:v>
      </x:c>
      <x:c r="E183" s="5" t="str">
        <x:v>NIGHT</x:v>
      </x:c>
      <x:c r="F183" s="9" t="n">
        <x:v>107.83</x:v>
      </x:c>
      <x:c r="G183" s="9" t="n">
        <x:v>139898.58</x:v>
      </x:c>
      <x:c r="H183" s="9" t="n">
        <x:v>0.575</x:v>
      </x:c>
      <x:c r="I183" s="9" t="n">
        <x:v>95.71</x:v>
      </x:c>
      <x:c r="J183" s="9" t="n">
        <x:v>0.07</x:v>
      </x:c>
      <x:c r="K183" s="5" t="str">
        <x:v>NONE</x:v>
      </x:c>
      <x:c r="L183" s="10" t="n">
        <x:v>0</x:v>
      </x:c>
      <x:c r="M183" s="5" t="n">
        <x:v>0</x:v>
      </x:c>
      <x:c r="N183" s="5" t="str">
        <x:v>NORMAL</x:v>
      </x:c>
      <x:c r="O183" s="11" t="str">
        <x:f>LEFT(B183,7)</x:f>
        <x:v>2026-01</x:v>
      </x:c>
    </x:row>
    <x:row r="184">
      <x:c r="A184" s="5" t="str">
        <x:v>OP00183</x:v>
      </x:c>
      <x:c r="B184" s="5" t="str">
        <x:v>2026-01-05 08:00:00</x:v>
      </x:c>
      <x:c r="C184" s="5" t="str">
        <x:v>S003</x:v>
      </x:c>
      <x:c r="D184" s="5" t="str">
        <x:v>A007</x:v>
      </x:c>
      <x:c r="E184" s="5" t="str">
        <x:v>DAY</x:v>
      </x:c>
      <x:c r="F184" s="9" t="n">
        <x:v>631.87</x:v>
      </x:c>
      <x:c r="G184" s="9" t="n">
        <x:v>831297.34</x:v>
      </x:c>
      <x:c r="H184" s="9" t="n">
        <x:v>0.359</x:v>
      </x:c>
      <x:c r="I184" s="9" t="n">
        <x:v>97.84</x:v>
      </x:c>
      <x:c r="J184" s="9" t="n">
        <x:v>2.21</x:v>
      </x:c>
      <x:c r="K184" s="5" t="str">
        <x:v>PREVENTIVE</x:v>
      </x:c>
      <x:c r="L184" s="10" t="n">
        <x:v>6501.28</x:v>
      </x:c>
      <x:c r="M184" s="5" t="n">
        <x:v>0</x:v>
      </x:c>
      <x:c r="N184" s="5" t="str">
        <x:v>WATCH</x:v>
      </x:c>
      <x:c r="O184" s="11" t="str">
        <x:f>LEFT(B184,7)</x:f>
        <x:v>2026-01</x:v>
      </x:c>
    </x:row>
    <x:row r="185">
      <x:c r="A185" s="5" t="str">
        <x:v>OP00184</x:v>
      </x:c>
      <x:c r="B185" s="5" t="str">
        <x:v>2026-01-07 12:00:00</x:v>
      </x:c>
      <x:c r="C185" s="5" t="str">
        <x:v>S004</x:v>
      </x:c>
      <x:c r="D185" s="5" t="str">
        <x:v>A010</x:v>
      </x:c>
      <x:c r="E185" s="5" t="str">
        <x:v>DAY</x:v>
      </x:c>
      <x:c r="F185" s="9" t="n">
        <x:v>273.89</x:v>
      </x:c>
      <x:c r="G185" s="9" t="n">
        <x:v>356827.3</x:v>
      </x:c>
      <x:c r="H185" s="9" t="n">
        <x:v>0.232</x:v>
      </x:c>
      <x:c r="I185" s="9" t="n">
        <x:v>97.31</x:v>
      </x:c>
      <x:c r="J185" s="9" t="n">
        <x:v>0.2</x:v>
      </x:c>
      <x:c r="K185" s="5" t="str">
        <x:v>NONE</x:v>
      </x:c>
      <x:c r="L185" s="10" t="n">
        <x:v>0</x:v>
      </x:c>
      <x:c r="M185" s="5" t="n">
        <x:v>0</x:v>
      </x:c>
      <x:c r="N185" s="5" t="str">
        <x:v>NORMAL</x:v>
      </x:c>
      <x:c r="O185" s="11" t="str">
        <x:f>LEFT(B185,7)</x:f>
        <x:v>2026-01</x:v>
      </x:c>
    </x:row>
    <x:row r="186">
      <x:c r="A186" s="5" t="str">
        <x:v>OP00185</x:v>
      </x:c>
      <x:c r="B186" s="5" t="str">
        <x:v>2026-01-09 16:00:00</x:v>
      </x:c>
      <x:c r="C186" s="5" t="str">
        <x:v>S001</x:v>
      </x:c>
      <x:c r="D186" s="5" t="str">
        <x:v>A002</x:v>
      </x:c>
      <x:c r="E186" s="5" t="str">
        <x:v>DAY</x:v>
      </x:c>
      <x:c r="F186" s="9" t="n">
        <x:v>472.62</x:v>
      </x:c>
      <x:c r="G186" s="9" t="n">
        <x:v>599702.31</x:v>
      </x:c>
      <x:c r="H186" s="9" t="n">
        <x:v>0.163</x:v>
      </x:c>
      <x:c r="I186" s="9" t="n">
        <x:v>96.06</x:v>
      </x:c>
      <x:c r="J186" s="9" t="n">
        <x:v>0.18</x:v>
      </x:c>
      <x:c r="K186" s="5" t="str">
        <x:v>NONE</x:v>
      </x:c>
      <x:c r="L186" s="10" t="n">
        <x:v>0</x:v>
      </x:c>
      <x:c r="M186" s="5" t="n">
        <x:v>0</x:v>
      </x:c>
      <x:c r="N186" s="5" t="str">
        <x:v>NORMAL</x:v>
      </x:c>
      <x:c r="O186" s="11" t="str">
        <x:f>LEFT(B186,7)</x:f>
        <x:v>2026-01</x:v>
      </x:c>
    </x:row>
    <x:row r="187">
      <x:c r="A187" s="5" t="str">
        <x:v>OP00186</x:v>
      </x:c>
      <x:c r="B187" s="5" t="str">
        <x:v>2026-01-11 20:00:00</x:v>
      </x:c>
      <x:c r="C187" s="5" t="str">
        <x:v>S002</x:v>
      </x:c>
      <x:c r="D187" s="5" t="str">
        <x:v>A005</x:v>
      </x:c>
      <x:c r="E187" s="5" t="str">
        <x:v>NIGHT</x:v>
      </x:c>
      <x:c r="F187" s="9" t="n">
        <x:v>100.61</x:v>
      </x:c>
      <x:c r="G187" s="9" t="n">
        <x:v>140371.69</x:v>
      </x:c>
      <x:c r="H187" s="9" t="n">
        <x:v>0.554</x:v>
      </x:c>
      <x:c r="I187" s="9" t="n">
        <x:v>96.01</x:v>
      </x:c>
      <x:c r="J187" s="9" t="n">
        <x:v>0.21</x:v>
      </x:c>
      <x:c r="K187" s="5" t="str">
        <x:v>NONE</x:v>
      </x:c>
      <x:c r="L187" s="10" t="n">
        <x:v>0</x:v>
      </x:c>
      <x:c r="M187" s="5" t="n">
        <x:v>0</x:v>
      </x:c>
      <x:c r="N187" s="5" t="str">
        <x:v>NORMAL</x:v>
      </x:c>
      <x:c r="O187" s="11" t="str">
        <x:f>LEFT(B187,7)</x:f>
        <x:v>2026-01</x:v>
      </x:c>
    </x:row>
    <x:row r="188">
      <x:c r="A188" s="5" t="str">
        <x:v>OP00187</x:v>
      </x:c>
      <x:c r="B188" s="5" t="str">
        <x:v>2026-01-13 00:00:00</x:v>
      </x:c>
      <x:c r="C188" s="5" t="str">
        <x:v>S003</x:v>
      </x:c>
      <x:c r="D188" s="5" t="str">
        <x:v>A008</x:v>
      </x:c>
      <x:c r="E188" s="5" t="str">
        <x:v>NIGHT</x:v>
      </x:c>
      <x:c r="F188" s="9" t="n">
        <x:v>518.69</x:v>
      </x:c>
      <x:c r="G188" s="9" t="n">
        <x:v>691424.62</x:v>
      </x:c>
      <x:c r="H188" s="9" t="n">
        <x:v>0.692</x:v>
      </x:c>
      <x:c r="I188" s="9" t="n">
        <x:v>97.62</x:v>
      </x:c>
      <x:c r="J188" s="9" t="n">
        <x:v>0.01</x:v>
      </x:c>
      <x:c r="K188" s="5" t="str">
        <x:v>NONE</x:v>
      </x:c>
      <x:c r="L188" s="10" t="n">
        <x:v>0</x:v>
      </x:c>
      <x:c r="M188" s="5" t="n">
        <x:v>0</x:v>
      </x:c>
      <x:c r="N188" s="5" t="str">
        <x:v>NORMAL</x:v>
      </x:c>
      <x:c r="O188" s="11" t="str">
        <x:f>LEFT(B188,7)</x:f>
        <x:v>2026-01</x:v>
      </x:c>
    </x:row>
    <x:row r="189">
      <x:c r="A189" s="5" t="str">
        <x:v>OP00188</x:v>
      </x:c>
      <x:c r="B189" s="5" t="str">
        <x:v>2026-01-15 04:00:00</x:v>
      </x:c>
      <x:c r="C189" s="5" t="str">
        <x:v>S004</x:v>
      </x:c>
      <x:c r="D189" s="5" t="str">
        <x:v>A011</x:v>
      </x:c>
      <x:c r="E189" s="5" t="str">
        <x:v>NIGHT</x:v>
      </x:c>
      <x:c r="F189" s="9" t="n">
        <x:v>243.81</x:v>
      </x:c>
      <x:c r="G189" s="9" t="n">
        <x:v>320147.27</x:v>
      </x:c>
      <x:c r="H189" s="9" t="n">
        <x:v>0.565</x:v>
      </x:c>
      <x:c r="I189" s="9" t="n">
        <x:v>95.94</x:v>
      </x:c>
      <x:c r="J189" s="9" t="n">
        <x:v>0.77</x:v>
      </x:c>
      <x:c r="K189" s="5" t="str">
        <x:v>INSPECTION</x:v>
      </x:c>
      <x:c r="L189" s="10" t="n">
        <x:v>4149.15</x:v>
      </x:c>
      <x:c r="M189" s="5" t="n">
        <x:v>0</x:v>
      </x:c>
      <x:c r="N189" s="5" t="str">
        <x:v>NORMAL</x:v>
      </x:c>
      <x:c r="O189" s="11" t="str">
        <x:f>LEFT(B189,7)</x:f>
        <x:v>2026-01</x:v>
      </x:c>
    </x:row>
    <x:row r="190">
      <x:c r="A190" s="5" t="str">
        <x:v>OP00189</x:v>
      </x:c>
      <x:c r="B190" s="5" t="str">
        <x:v>2026-01-17 08:00:00</x:v>
      </x:c>
      <x:c r="C190" s="5" t="str">
        <x:v>S001</x:v>
      </x:c>
      <x:c r="D190" s="5" t="str">
        <x:v>A003</x:v>
      </x:c>
      <x:c r="E190" s="5" t="str">
        <x:v>DAY</x:v>
      </x:c>
      <x:c r="F190" s="9" t="n">
        <x:v>365.75</x:v>
      </x:c>
      <x:c r="G190" s="9" t="n">
        <x:v>458169.16</x:v>
      </x:c>
      <x:c r="H190" s="9" t="n">
        <x:v>0.332</x:v>
      </x:c>
      <x:c r="I190" s="9" t="n">
        <x:v>97.92</x:v>
      </x:c>
      <x:c r="J190" s="9" t="n">
        <x:v>0.08</x:v>
      </x:c>
      <x:c r="K190" s="5" t="str">
        <x:v>NONE</x:v>
      </x:c>
      <x:c r="L190" s="10" t="n">
        <x:v>0</x:v>
      </x:c>
      <x:c r="M190" s="5" t="n">
        <x:v>1</x:v>
      </x:c>
      <x:c r="N190" s="5" t="str">
        <x:v>ALARM</x:v>
      </x:c>
      <x:c r="O190" s="11" t="str">
        <x:f>LEFT(B190,7)</x:f>
        <x:v>2026-01</x:v>
      </x:c>
    </x:row>
    <x:row r="191">
      <x:c r="A191" s="5" t="str">
        <x:v>OP00190</x:v>
      </x:c>
      <x:c r="B191" s="5" t="str">
        <x:v>2026-01-19 12:00:00</x:v>
      </x:c>
      <x:c r="C191" s="5" t="str">
        <x:v>S002</x:v>
      </x:c>
      <x:c r="D191" s="5" t="str">
        <x:v>A006</x:v>
      </x:c>
      <x:c r="E191" s="5" t="str">
        <x:v>DAY</x:v>
      </x:c>
      <x:c r="F191" s="9" t="n">
        <x:v>97.46</x:v>
      </x:c>
      <x:c r="G191" s="9" t="n">
        <x:v>127884.34</x:v>
      </x:c>
      <x:c r="H191" s="9" t="n">
        <x:v>0.541</x:v>
      </x:c>
      <x:c r="I191" s="9" t="n">
        <x:v>97.99</x:v>
      </x:c>
      <x:c r="J191" s="9" t="n">
        <x:v>1.37</x:v>
      </x:c>
      <x:c r="K191" s="5" t="str">
        <x:v>PREVENTIVE</x:v>
      </x:c>
      <x:c r="L191" s="10" t="n">
        <x:v>10296.64</x:v>
      </x:c>
      <x:c r="M191" s="5" t="n">
        <x:v>0</x:v>
      </x:c>
      <x:c r="N191" s="5" t="str">
        <x:v>NORMAL</x:v>
      </x:c>
      <x:c r="O191" s="11" t="str">
        <x:f>LEFT(B191,7)</x:f>
        <x:v>2026-01</x:v>
      </x:c>
    </x:row>
    <x:row r="192">
      <x:c r="A192" s="5" t="str">
        <x:v>OP00191</x:v>
      </x:c>
      <x:c r="B192" s="5" t="str">
        <x:v>2026-01-21 16:00:00</x:v>
      </x:c>
      <x:c r="C192" s="5" t="str">
        <x:v>S003</x:v>
      </x:c>
      <x:c r="D192" s="5" t="str">
        <x:v>A009</x:v>
      </x:c>
      <x:c r="E192" s="5" t="str">
        <x:v>DAY</x:v>
      </x:c>
      <x:c r="F192" s="9" t="n">
        <x:v>661.31</x:v>
      </x:c>
      <x:c r="G192" s="9" t="n">
        <x:v>866036.17</x:v>
      </x:c>
      <x:c r="H192" s="9" t="n">
        <x:v>0.439</x:v>
      </x:c>
      <x:c r="I192" s="9" t="n">
        <x:v>95.87</x:v>
      </x:c>
      <x:c r="J192" s="9" t="n">
        <x:v>0.03</x:v>
      </x:c>
      <x:c r="K192" s="5" t="str">
        <x:v>NONE</x:v>
      </x:c>
      <x:c r="L192" s="10" t="n">
        <x:v>0</x:v>
      </x:c>
      <x:c r="M192" s="5" t="n">
        <x:v>0</x:v>
      </x:c>
      <x:c r="N192" s="5" t="str">
        <x:v>NORMAL</x:v>
      </x:c>
      <x:c r="O192" s="11" t="str">
        <x:f>LEFT(B192,7)</x:f>
        <x:v>2026-01</x:v>
      </x:c>
    </x:row>
    <x:row r="193">
      <x:c r="A193" s="5" t="str">
        <x:v>OP00192</x:v>
      </x:c>
      <x:c r="B193" s="5" t="str">
        <x:v>2026-01-23 20:00:00</x:v>
      </x:c>
      <x:c r="C193" s="5" t="str">
        <x:v>S004</x:v>
      </x:c>
      <x:c r="D193" s="5" t="str">
        <x:v>A012</x:v>
      </x:c>
      <x:c r="E193" s="5" t="str">
        <x:v>NIGHT</x:v>
      </x:c>
      <x:c r="F193" s="9" t="n">
        <x:v>282.28</x:v>
      </x:c>
      <x:c r="G193" s="9" t="n">
        <x:v>395045.57</x:v>
      </x:c>
      <x:c r="H193" s="9" t="n">
        <x:v>0.439</x:v>
      </x:c>
      <x:c r="I193" s="9" t="n">
        <x:v>97.04</x:v>
      </x:c>
      <x:c r="J193" s="9" t="n">
        <x:v>0.22</x:v>
      </x:c>
      <x:c r="K193" s="5" t="str">
        <x:v>NONE</x:v>
      </x:c>
      <x:c r="L193" s="10" t="n">
        <x:v>0</x:v>
      </x:c>
      <x:c r="M193" s="5" t="n">
        <x:v>0</x:v>
      </x:c>
      <x:c r="N193" s="5" t="str">
        <x:v>NORMAL</x:v>
      </x:c>
      <x:c r="O193" s="11" t="str">
        <x:f>LEFT(B193,7)</x:f>
        <x:v>2026-01</x:v>
      </x:c>
    </x:row>
    <x:row r="194">
      <x:c r="A194" s="5" t="str">
        <x:v>OP00193</x:v>
      </x:c>
      <x:c r="B194" s="5" t="str">
        <x:v>2026-01-25 00:00:00</x:v>
      </x:c>
      <x:c r="C194" s="5" t="str">
        <x:v>S001</x:v>
      </x:c>
      <x:c r="D194" s="5" t="str">
        <x:v>A001</x:v>
      </x:c>
      <x:c r="E194" s="5" t="str">
        <x:v>NIGHT</x:v>
      </x:c>
      <x:c r="F194" s="9" t="n">
        <x:v>417.89</x:v>
      </x:c>
      <x:c r="G194" s="9" t="n">
        <x:v>567660.17</x:v>
      </x:c>
      <x:c r="H194" s="9" t="n">
        <x:v>0.167</x:v>
      </x:c>
      <x:c r="I194" s="9" t="n">
        <x:v>95.72</x:v>
      </x:c>
      <x:c r="J194" s="9" t="n">
        <x:v>0.13</x:v>
      </x:c>
      <x:c r="K194" s="5" t="str">
        <x:v>NONE</x:v>
      </x:c>
      <x:c r="L194" s="10" t="n">
        <x:v>0</x:v>
      </x:c>
      <x:c r="M194" s="5" t="n">
        <x:v>0</x:v>
      </x:c>
      <x:c r="N194" s="5" t="str">
        <x:v>NORMAL</x:v>
      </x:c>
      <x:c r="O194" s="11" t="str">
        <x:f>LEFT(B194,7)</x:f>
        <x:v>2026-01</x:v>
      </x:c>
    </x:row>
    <x:row r="195">
      <x:c r="A195" s="5" t="str">
        <x:v>OP00194</x:v>
      </x:c>
      <x:c r="B195" s="5" t="str">
        <x:v>2026-01-27 04:00:00</x:v>
      </x:c>
      <x:c r="C195" s="5" t="str">
        <x:v>S002</x:v>
      </x:c>
      <x:c r="D195" s="5" t="str">
        <x:v>A004</x:v>
      </x:c>
      <x:c r="E195" s="5" t="str">
        <x:v>NIGHT</x:v>
      </x:c>
      <x:c r="F195" s="9" t="n">
        <x:v>92.37</x:v>
      </x:c>
      <x:c r="G195" s="9" t="n">
        <x:v>123224.23</x:v>
      </x:c>
      <x:c r="H195" s="9" t="n">
        <x:v>0.655</x:v>
      </x:c>
      <x:c r="I195" s="9" t="n">
        <x:v>98.41</x:v>
      </x:c>
      <x:c r="J195" s="9" t="n">
        <x:v>0.02</x:v>
      </x:c>
      <x:c r="K195" s="5" t="str">
        <x:v>NONE</x:v>
      </x:c>
      <x:c r="L195" s="10" t="n">
        <x:v>0</x:v>
      </x:c>
      <x:c r="M195" s="5" t="n">
        <x:v>0</x:v>
      </x:c>
      <x:c r="N195" s="5" t="str">
        <x:v>NORMAL</x:v>
      </x:c>
      <x:c r="O195" s="11" t="str">
        <x:f>LEFT(B195,7)</x:f>
        <x:v>2026-01</x:v>
      </x:c>
    </x:row>
    <x:row r="196">
      <x:c r="A196" s="5" t="str">
        <x:v>OP00195</x:v>
      </x:c>
      <x:c r="B196" s="5" t="str">
        <x:v>2026-01-29 08:00:00</x:v>
      </x:c>
      <x:c r="C196" s="5" t="str">
        <x:v>S003</x:v>
      </x:c>
      <x:c r="D196" s="5" t="str">
        <x:v>A007</x:v>
      </x:c>
      <x:c r="E196" s="5" t="str">
        <x:v>DAY</x:v>
      </x:c>
      <x:c r="F196" s="9" t="n">
        <x:v>537.89</x:v>
      </x:c>
      <x:c r="G196" s="9" t="n">
        <x:v>729468.68</x:v>
      </x:c>
      <x:c r="H196" s="9" t="n">
        <x:v>0.679</x:v>
      </x:c>
      <x:c r="I196" s="9" t="n">
        <x:v>97.93</x:v>
      </x:c>
      <x:c r="J196" s="9" t="n">
        <x:v>0.2</x:v>
      </x:c>
      <x:c r="K196" s="5" t="str">
        <x:v>NONE</x:v>
      </x:c>
      <x:c r="L196" s="10" t="n">
        <x:v>0</x:v>
      </x:c>
      <x:c r="M196" s="5" t="n">
        <x:v>0</x:v>
      </x:c>
      <x:c r="N196" s="5" t="str">
        <x:v>NORMAL</x:v>
      </x:c>
      <x:c r="O196" s="11" t="str">
        <x:f>LEFT(B196,7)</x:f>
        <x:v>2026-01</x:v>
      </x:c>
    </x:row>
    <x:row r="197">
      <x:c r="A197" s="5" t="str">
        <x:v>OP00196</x:v>
      </x:c>
      <x:c r="B197" s="5" t="str">
        <x:v>2026-01-31 12:00:00</x:v>
      </x:c>
      <x:c r="C197" s="5" t="str">
        <x:v>S004</x:v>
      </x:c>
      <x:c r="D197" s="5" t="str">
        <x:v>A010</x:v>
      </x:c>
      <x:c r="E197" s="5" t="str">
        <x:v>DAY</x:v>
      </x:c>
      <x:c r="F197" s="9" t="n">
        <x:v>262.61</x:v>
      </x:c>
      <x:c r="G197" s="9" t="n">
        <x:v>341426.81</x:v>
      </x:c>
      <x:c r="H197" s="9" t="n">
        <x:v>0.188</x:v>
      </x:c>
      <x:c r="I197" s="9" t="n">
        <x:v>96.39</x:v>
      </x:c>
      <x:c r="J197" s="9" t="n">
        <x:v>0.15</x:v>
      </x:c>
      <x:c r="K197" s="5" t="str">
        <x:v>NONE</x:v>
      </x:c>
      <x:c r="L197" s="10" t="n">
        <x:v>0</x:v>
      </x:c>
      <x:c r="M197" s="5" t="n">
        <x:v>0</x:v>
      </x:c>
      <x:c r="N197" s="5" t="str">
        <x:v>NORMAL</x:v>
      </x:c>
      <x:c r="O197" s="11" t="str">
        <x:f>LEFT(B197,7)</x:f>
        <x:v>2026-01</x:v>
      </x:c>
    </x:row>
    <x:row r="198">
      <x:c r="A198" s="5" t="str">
        <x:v>OP00197</x:v>
      </x:c>
      <x:c r="B198" s="5" t="str">
        <x:v>2026-02-02 16:00:00</x:v>
      </x:c>
      <x:c r="C198" s="5" t="str">
        <x:v>S001</x:v>
      </x:c>
      <x:c r="D198" s="5" t="str">
        <x:v>A002</x:v>
      </x:c>
      <x:c r="E198" s="5" t="str">
        <x:v>DAY</x:v>
      </x:c>
      <x:c r="F198" s="9" t="n">
        <x:v>430.48</x:v>
      </x:c>
      <x:c r="G198" s="9" t="n">
        <x:v>600537.38</x:v>
      </x:c>
      <x:c r="H198" s="9" t="n">
        <x:v>0.401</x:v>
      </x:c>
      <x:c r="I198" s="9" t="n">
        <x:v>96.19</x:v>
      </x:c>
      <x:c r="J198" s="9" t="n">
        <x:v>1.12</x:v>
      </x:c>
      <x:c r="K198" s="5" t="str">
        <x:v>PREVENTIVE</x:v>
      </x:c>
      <x:c r="L198" s="10" t="n">
        <x:v>8021.51</x:v>
      </x:c>
      <x:c r="M198" s="5" t="n">
        <x:v>0</x:v>
      </x:c>
      <x:c r="N198" s="5" t="str">
        <x:v>NORMAL</x:v>
      </x:c>
      <x:c r="O198" s="11" t="str">
        <x:f>LEFT(B198,7)</x:f>
        <x:v>2026-02</x:v>
      </x:c>
    </x:row>
    <x:row r="199">
      <x:c r="A199" s="5" t="str">
        <x:v>OP00198</x:v>
      </x:c>
      <x:c r="B199" s="5" t="str">
        <x:v>2026-02-04 20:00:00</x:v>
      </x:c>
      <x:c r="C199" s="5" t="str">
        <x:v>S002</x:v>
      </x:c>
      <x:c r="D199" s="5" t="str">
        <x:v>A005</x:v>
      </x:c>
      <x:c r="E199" s="5" t="str">
        <x:v>NIGHT</x:v>
      </x:c>
      <x:c r="F199" s="9" t="n">
        <x:v>96.45</x:v>
      </x:c>
      <x:c r="G199" s="9" t="n">
        <x:v>129640.45</x:v>
      </x:c>
      <x:c r="H199" s="9" t="n">
        <x:v>0.569</x:v>
      </x:c>
      <x:c r="I199" s="9" t="n">
        <x:v>97.31</x:v>
      </x:c>
      <x:c r="J199" s="9" t="n">
        <x:v>0.24</x:v>
      </x:c>
      <x:c r="K199" s="5" t="str">
        <x:v>NONE</x:v>
      </x:c>
      <x:c r="L199" s="10" t="n">
        <x:v>0</x:v>
      </x:c>
      <x:c r="M199" s="5" t="n">
        <x:v>0</x:v>
      </x:c>
      <x:c r="N199" s="5" t="str">
        <x:v>NORMAL</x:v>
      </x:c>
      <x:c r="O199" s="11" t="str">
        <x:f>LEFT(B199,7)</x:f>
        <x:v>2026-02</x:v>
      </x:c>
    </x:row>
    <x:row r="200">
      <x:c r="A200" s="5" t="str">
        <x:v>OP00199</x:v>
      </x:c>
      <x:c r="B200" s="5" t="str">
        <x:v>2026-02-06 00:00:00</x:v>
      </x:c>
      <x:c r="C200" s="5" t="str">
        <x:v>S003</x:v>
      </x:c>
      <x:c r="D200" s="5" t="str">
        <x:v>A008</x:v>
      </x:c>
      <x:c r="E200" s="5" t="str">
        <x:v>NIGHT</x:v>
      </x:c>
      <x:c r="F200" s="9" t="n">
        <x:v>602.81</x:v>
      </x:c>
      <x:c r="G200" s="9" t="n">
        <x:v>813934.03</x:v>
      </x:c>
      <x:c r="H200" s="9" t="n">
        <x:v>0.684</x:v>
      </x:c>
      <x:c r="I200" s="9" t="n">
        <x:v>98.32</x:v>
      </x:c>
      <x:c r="J200" s="9" t="n">
        <x:v>0.52</x:v>
      </x:c>
      <x:c r="K200" s="5" t="str">
        <x:v>INSPECTION</x:v>
      </x:c>
      <x:c r="L200" s="10" t="n">
        <x:v>2848.13</x:v>
      </x:c>
      <x:c r="M200" s="5" t="n">
        <x:v>0</x:v>
      </x:c>
      <x:c r="N200" s="5" t="str">
        <x:v>NORMAL</x:v>
      </x:c>
      <x:c r="O200" s="11" t="str">
        <x:f>LEFT(B200,7)</x:f>
        <x:v>2026-02</x:v>
      </x:c>
    </x:row>
    <x:row r="201">
      <x:c r="A201" s="5" t="str">
        <x:v>OP00200</x:v>
      </x:c>
      <x:c r="B201" s="5" t="str">
        <x:v>2026-02-08 04:00:00</x:v>
      </x:c>
      <x:c r="C201" s="5" t="str">
        <x:v>S004</x:v>
      </x:c>
      <x:c r="D201" s="5" t="str">
        <x:v>A011</x:v>
      </x:c>
      <x:c r="E201" s="5" t="str">
        <x:v>NIGHT</x:v>
      </x:c>
      <x:c r="F201" s="9" t="n">
        <x:v>222.39</x:v>
      </x:c>
      <x:c r="G201" s="9" t="n">
        <x:v>279136.41</x:v>
      </x:c>
      <x:c r="H201" s="9" t="n">
        <x:v>0.389</x:v>
      </x:c>
      <x:c r="I201" s="9" t="n">
        <x:v>97.67</x:v>
      </x:c>
      <x:c r="J201" s="9" t="n">
        <x:v>0.04</x:v>
      </x:c>
      <x:c r="K201" s="5" t="str">
        <x:v>NONE</x:v>
      </x:c>
      <x:c r="L201" s="10" t="n">
        <x:v>0</x:v>
      </x:c>
      <x:c r="M201" s="5" t="n">
        <x:v>0</x:v>
      </x:c>
      <x:c r="N201" s="5" t="str">
        <x:v>NORMAL</x:v>
      </x:c>
      <x:c r="O201" s="11" t="str">
        <x:f>LEFT(B201,7)</x:f>
        <x:v>2026-02</x:v>
      </x:c>
    </x:row>
    <x:row r="202">
      <x:c r="A202" s="5" t="str">
        <x:v>OP00201</x:v>
      </x:c>
      <x:c r="B202" s="5" t="str">
        <x:v>2026-02-10 08:00:00</x:v>
      </x:c>
      <x:c r="C202" s="5" t="str">
        <x:v>S001</x:v>
      </x:c>
      <x:c r="D202" s="5" t="str">
        <x:v>A003</x:v>
      </x:c>
      <x:c r="E202" s="5" t="str">
        <x:v>DAY</x:v>
      </x:c>
      <x:c r="F202" s="9" t="n">
        <x:v>418.29</x:v>
      </x:c>
      <x:c r="G202" s="9" t="n">
        <x:v>570821.8</x:v>
      </x:c>
      <x:c r="H202" s="9" t="n">
        <x:v>0.666</x:v>
      </x:c>
      <x:c r="I202" s="9" t="n">
        <x:v>95.62</x:v>
      </x:c>
      <x:c r="J202" s="9" t="n">
        <x:v>0.06</x:v>
      </x:c>
      <x:c r="K202" s="5" t="str">
        <x:v>NONE</x:v>
      </x:c>
      <x:c r="L202" s="10" t="n">
        <x:v>0</x:v>
      </x:c>
      <x:c r="M202" s="5" t="n">
        <x:v>0</x:v>
      </x:c>
      <x:c r="N202" s="5" t="str">
        <x:v>NORMAL</x:v>
      </x:c>
      <x:c r="O202" s="11" t="str">
        <x:f>LEFT(B202,7)</x:f>
        <x:v>2026-02</x:v>
      </x:c>
    </x:row>
    <x:row r="203">
      <x:c r="A203" s="5" t="str">
        <x:v>OP00202</x:v>
      </x:c>
      <x:c r="B203" s="5" t="str">
        <x:v>2026-02-12 12:00:00</x:v>
      </x:c>
      <x:c r="C203" s="5" t="str">
        <x:v>S002</x:v>
      </x:c>
      <x:c r="D203" s="5" t="str">
        <x:v>A006</x:v>
      </x:c>
      <x:c r="E203" s="5" t="str">
        <x:v>DAY</x:v>
      </x:c>
      <x:c r="F203" s="9" t="n">
        <x:v>101.94</x:v>
      </x:c>
      <x:c r="G203" s="9" t="n">
        <x:v>139493.07</x:v>
      </x:c>
      <x:c r="H203" s="9" t="n">
        <x:v>0.396</x:v>
      </x:c>
      <x:c r="I203" s="9" t="n">
        <x:v>98.55</x:v>
      </x:c>
      <x:c r="J203" s="9" t="n">
        <x:v>0.08</x:v>
      </x:c>
      <x:c r="K203" s="5" t="str">
        <x:v>NONE</x:v>
      </x:c>
      <x:c r="L203" s="10" t="n">
        <x:v>0</x:v>
      </x:c>
      <x:c r="M203" s="5" t="n">
        <x:v>0</x:v>
      </x:c>
      <x:c r="N203" s="5" t="str">
        <x:v>NORMAL</x:v>
      </x:c>
      <x:c r="O203" s="11" t="str">
        <x:f>LEFT(B203,7)</x:f>
        <x:v>2026-02</x:v>
      </x:c>
    </x:row>
    <x:row r="204">
      <x:c r="A204" s="5" t="str">
        <x:v>OP00203</x:v>
      </x:c>
      <x:c r="B204" s="5" t="str">
        <x:v>2026-02-14 16:00:00</x:v>
      </x:c>
      <x:c r="C204" s="5" t="str">
        <x:v>S003</x:v>
      </x:c>
      <x:c r="D204" s="5" t="str">
        <x:v>A009</x:v>
      </x:c>
      <x:c r="E204" s="5" t="str">
        <x:v>DAY</x:v>
      </x:c>
      <x:c r="F204" s="9" t="n">
        <x:v>584.74</x:v>
      </x:c>
      <x:c r="G204" s="9" t="n">
        <x:v>767304.34</x:v>
      </x:c>
      <x:c r="H204" s="9" t="n">
        <x:v>0.418</x:v>
      </x:c>
      <x:c r="I204" s="9" t="n">
        <x:v>96.36</x:v>
      </x:c>
      <x:c r="J204" s="9" t="n">
        <x:v>0.15</x:v>
      </x:c>
      <x:c r="K204" s="5" t="str">
        <x:v>NONE</x:v>
      </x:c>
      <x:c r="L204" s="10" t="n">
        <x:v>0</x:v>
      </x:c>
      <x:c r="M204" s="5" t="n">
        <x:v>0</x:v>
      </x:c>
      <x:c r="N204" s="5" t="str">
        <x:v>NORMAL</x:v>
      </x:c>
      <x:c r="O204" s="11" t="str">
        <x:f>LEFT(B204,7)</x:f>
        <x:v>2026-02</x:v>
      </x:c>
    </x:row>
    <x:row r="205">
      <x:c r="A205" s="5" t="str">
        <x:v>OP00204</x:v>
      </x:c>
      <x:c r="B205" s="5" t="str">
        <x:v>2026-02-16 20:00:00</x:v>
      </x:c>
      <x:c r="C205" s="5" t="str">
        <x:v>S004</x:v>
      </x:c>
      <x:c r="D205" s="5" t="str">
        <x:v>A012</x:v>
      </x:c>
      <x:c r="E205" s="5" t="str">
        <x:v>NIGHT</x:v>
      </x:c>
      <x:c r="F205" s="9" t="n">
        <x:v>231.9</x:v>
      </x:c>
      <x:c r="G205" s="9" t="n">
        <x:v>314109.37</x:v>
      </x:c>
      <x:c r="H205" s="9" t="n">
        <x:v>0.666</x:v>
      </x:c>
      <x:c r="I205" s="9" t="n">
        <x:v>97.65</x:v>
      </x:c>
      <x:c r="J205" s="9" t="n">
        <x:v>5.65</x:v>
      </x:c>
      <x:c r="K205" s="5" t="str">
        <x:v>CORRECTIVE</x:v>
      </x:c>
      <x:c r="L205" s="10" t="n">
        <x:v>56207.62</x:v>
      </x:c>
      <x:c r="M205" s="5" t="n">
        <x:v>0</x:v>
      </x:c>
      <x:c r="N205" s="5" t="str">
        <x:v>WATCH</x:v>
      </x:c>
      <x:c r="O205" s="11" t="str">
        <x:f>LEFT(B205,7)</x:f>
        <x:v>2026-02</x:v>
      </x:c>
    </x:row>
    <x:row r="206">
      <x:c r="A206" s="5" t="str">
        <x:v>OP00205</x:v>
      </x:c>
      <x:c r="B206" s="5" t="str">
        <x:v>2026-02-18 00:00:00</x:v>
      </x:c>
      <x:c r="C206" s="5" t="str">
        <x:v>S001</x:v>
      </x:c>
      <x:c r="D206" s="5" t="str">
        <x:v>A001</x:v>
      </x:c>
      <x:c r="E206" s="5" t="str">
        <x:v>NIGHT</x:v>
      </x:c>
      <x:c r="F206" s="9" t="n">
        <x:v>432.45</x:v>
      </x:c>
      <x:c r="G206" s="9" t="n">
        <x:v>564034.99</x:v>
      </x:c>
      <x:c r="H206" s="9" t="n">
        <x:v>0.58</x:v>
      </x:c>
      <x:c r="I206" s="9" t="n">
        <x:v>98.4</x:v>
      </x:c>
      <x:c r="J206" s="9" t="n">
        <x:v>0.08</x:v>
      </x:c>
      <x:c r="K206" s="5" t="str">
        <x:v>NONE</x:v>
      </x:c>
      <x:c r="L206" s="10" t="n">
        <x:v>0</x:v>
      </x:c>
      <x:c r="M206" s="5" t="n">
        <x:v>0</x:v>
      </x:c>
      <x:c r="N206" s="5" t="str">
        <x:v>NORMAL</x:v>
      </x:c>
      <x:c r="O206" s="11" t="str">
        <x:f>LEFT(B206,7)</x:f>
        <x:v>2026-02</x:v>
      </x:c>
    </x:row>
    <x:row r="207">
      <x:c r="A207" s="5" t="str">
        <x:v>OP00206</x:v>
      </x:c>
      <x:c r="B207" s="5" t="str">
        <x:v>2026-02-20 04:00:00</x:v>
      </x:c>
      <x:c r="C207" s="5" t="str">
        <x:v>S002</x:v>
      </x:c>
      <x:c r="D207" s="5" t="str">
        <x:v>A004</x:v>
      </x:c>
      <x:c r="E207" s="5" t="str">
        <x:v>NIGHT</x:v>
      </x:c>
      <x:c r="F207" s="9" t="n">
        <x:v>107.19</x:v>
      </x:c>
      <x:c r="G207" s="9" t="n">
        <x:v>147525.89</x:v>
      </x:c>
      <x:c r="H207" s="9" t="n">
        <x:v>0.467</x:v>
      </x:c>
      <x:c r="I207" s="9" t="n">
        <x:v>97.58</x:v>
      </x:c>
      <x:c r="J207" s="9" t="n">
        <x:v>0.01</x:v>
      </x:c>
      <x:c r="K207" s="5" t="str">
        <x:v>NONE</x:v>
      </x:c>
      <x:c r="L207" s="10" t="n">
        <x:v>0</x:v>
      </x:c>
      <x:c r="M207" s="5" t="n">
        <x:v>0</x:v>
      </x:c>
      <x:c r="N207" s="5" t="str">
        <x:v>NORMAL</x:v>
      </x:c>
      <x:c r="O207" s="11" t="str">
        <x:f>LEFT(B207,7)</x:f>
        <x:v>2026-02</x:v>
      </x:c>
    </x:row>
    <x:row r="208">
      <x:c r="A208" s="5" t="str">
        <x:v>OP00207</x:v>
      </x:c>
      <x:c r="B208" s="5" t="str">
        <x:v>2026-02-22 08:00:00</x:v>
      </x:c>
      <x:c r="C208" s="5" t="str">
        <x:v>S003</x:v>
      </x:c>
      <x:c r="D208" s="5" t="str">
        <x:v>A007</x:v>
      </x:c>
      <x:c r="E208" s="5" t="str">
        <x:v>DAY</x:v>
      </x:c>
      <x:c r="F208" s="9" t="n">
        <x:v>560.38</x:v>
      </x:c>
      <x:c r="G208" s="9" t="n">
        <x:v>776670.17</x:v>
      </x:c>
      <x:c r="H208" s="9" t="n">
        <x:v>0.274</x:v>
      </x:c>
      <x:c r="I208" s="9" t="n">
        <x:v>96.4</x:v>
      </x:c>
      <x:c r="J208" s="9" t="n">
        <x:v>0.21</x:v>
      </x:c>
      <x:c r="K208" s="5" t="str">
        <x:v>NONE</x:v>
      </x:c>
      <x:c r="L208" s="10" t="n">
        <x:v>0</x:v>
      </x:c>
      <x:c r="M208" s="5" t="n">
        <x:v>0</x:v>
      </x:c>
      <x:c r="N208" s="5" t="str">
        <x:v>NORMAL</x:v>
      </x:c>
      <x:c r="O208" s="11" t="str">
        <x:f>LEFT(B208,7)</x:f>
        <x:v>2026-02</x:v>
      </x:c>
    </x:row>
    <x:row r="209">
      <x:c r="A209" s="5" t="str">
        <x:v>OP00208</x:v>
      </x:c>
      <x:c r="B209" s="5" t="str">
        <x:v>2026-02-24 12:00:00</x:v>
      </x:c>
      <x:c r="C209" s="5" t="str">
        <x:v>S004</x:v>
      </x:c>
      <x:c r="D209" s="5" t="str">
        <x:v>A010</x:v>
      </x:c>
      <x:c r="E209" s="5" t="str">
        <x:v>DAY</x:v>
      </x:c>
      <x:c r="F209" s="9" t="n">
        <x:v>260.74</x:v>
      </x:c>
      <x:c r="G209" s="9" t="n">
        <x:v>350793.54</x:v>
      </x:c>
      <x:c r="H209" s="9" t="n">
        <x:v>0.281</x:v>
      </x:c>
      <x:c r="I209" s="9" t="n">
        <x:v>98.8</x:v>
      </x:c>
      <x:c r="J209" s="9" t="n">
        <x:v>0.08</x:v>
      </x:c>
      <x:c r="K209" s="5" t="str">
        <x:v>NONE</x:v>
      </x:c>
      <x:c r="L209" s="10" t="n">
        <x:v>0</x:v>
      </x:c>
      <x:c r="M209" s="5" t="n">
        <x:v>0</x:v>
      </x:c>
      <x:c r="N209" s="5" t="str">
        <x:v>NORMAL</x:v>
      </x:c>
      <x:c r="O209" s="11" t="str">
        <x:f>LEFT(B209,7)</x:f>
        <x:v>2026-02</x:v>
      </x:c>
    </x:row>
    <x:row r="210">
      <x:c r="A210" s="5" t="str">
        <x:v>OP00209</x:v>
      </x:c>
      <x:c r="B210" s="5" t="str">
        <x:v>2026-02-26 16:00:00</x:v>
      </x:c>
      <x:c r="C210" s="5" t="str">
        <x:v>S001</x:v>
      </x:c>
      <x:c r="D210" s="5" t="str">
        <x:v>A002</x:v>
      </x:c>
      <x:c r="E210" s="5" t="str">
        <x:v>DAY</x:v>
      </x:c>
      <x:c r="F210" s="9" t="n">
        <x:v>381.52</x:v>
      </x:c>
      <x:c r="G210" s="9" t="n">
        <x:v>513150.61</x:v>
      </x:c>
      <x:c r="H210" s="9" t="n">
        <x:v>0.564</x:v>
      </x:c>
      <x:c r="I210" s="9" t="n">
        <x:v>98.47</x:v>
      </x:c>
      <x:c r="J210" s="9" t="n">
        <x:v>0.08</x:v>
      </x:c>
      <x:c r="K210" s="5" t="str">
        <x:v>NONE</x:v>
      </x:c>
      <x:c r="L210" s="10" t="n">
        <x:v>0</x:v>
      </x:c>
      <x:c r="M210" s="5" t="n">
        <x:v>0</x:v>
      </x:c>
      <x:c r="N210" s="5" t="str">
        <x:v>NORMAL</x:v>
      </x:c>
      <x:c r="O210" s="11" t="str">
        <x:f>LEFT(B210,7)</x:f>
        <x:v>2026-02</x:v>
      </x:c>
    </x:row>
    <x:row r="211">
      <x:c r="A211" s="5" t="str">
        <x:v>OP00210</x:v>
      </x:c>
      <x:c r="B211" s="5" t="str">
        <x:v>2026-02-28 20:00:00</x:v>
      </x:c>
      <x:c r="C211" s="5" t="str">
        <x:v>S002</x:v>
      </x:c>
      <x:c r="D211" s="5" t="str">
        <x:v>A005</x:v>
      </x:c>
      <x:c r="E211" s="5" t="str">
        <x:v>NIGHT</x:v>
      </x:c>
      <x:c r="F211" s="9" t="n">
        <x:v>86.79</x:v>
      </x:c>
      <x:c r="G211" s="9" t="n">
        <x:v>115173.61</x:v>
      </x:c>
      <x:c r="H211" s="9" t="n">
        <x:v>0.193</x:v>
      </x:c>
      <x:c r="I211" s="9" t="n">
        <x:v>98.05</x:v>
      </x:c>
      <x:c r="J211" s="9" t="n">
        <x:v>0.52</x:v>
      </x:c>
      <x:c r="K211" s="5" t="str">
        <x:v>INSPECTION</x:v>
      </x:c>
      <x:c r="L211" s="10" t="n">
        <x:v>4065.33</x:v>
      </x:c>
      <x:c r="M211" s="5" t="n">
        <x:v>0</x:v>
      </x:c>
      <x:c r="N211" s="5" t="str">
        <x:v>NORMAL</x:v>
      </x:c>
      <x:c r="O211" s="11" t="str">
        <x:f>LEFT(B211,7)</x:f>
        <x:v>2026-02</x:v>
      </x:c>
    </x:row>
    <x:row r="212">
      <x:c r="A212" s="5" t="str">
        <x:v>OP00211</x:v>
      </x:c>
      <x:c r="B212" s="5" t="str">
        <x:v>2026-03-02 00:00:00</x:v>
      </x:c>
      <x:c r="C212" s="5" t="str">
        <x:v>S003</x:v>
      </x:c>
      <x:c r="D212" s="5" t="str">
        <x:v>A008</x:v>
      </x:c>
      <x:c r="E212" s="5" t="str">
        <x:v>NIGHT</x:v>
      </x:c>
      <x:c r="F212" s="9" t="n">
        <x:v>547.03</x:v>
      </x:c>
      <x:c r="G212" s="9" t="n">
        <x:v>715420.28</x:v>
      </x:c>
      <x:c r="H212" s="9" t="n">
        <x:v>0.625</x:v>
      </x:c>
      <x:c r="I212" s="9" t="n">
        <x:v>96.56</x:v>
      </x:c>
      <x:c r="J212" s="9" t="n">
        <x:v>0.82</x:v>
      </x:c>
      <x:c r="K212" s="5" t="str">
        <x:v>PREVENTIVE</x:v>
      </x:c>
      <x:c r="L212" s="10" t="n">
        <x:v>6954.24</x:v>
      </x:c>
      <x:c r="M212" s="5" t="n">
        <x:v>0</x:v>
      </x:c>
      <x:c r="N212" s="5" t="str">
        <x:v>NORMAL</x:v>
      </x:c>
      <x:c r="O212" s="11" t="str">
        <x:f>LEFT(B212,7)</x:f>
        <x:v>2026-03</x:v>
      </x:c>
    </x:row>
    <x:row r="213">
      <x:c r="A213" s="5" t="str">
        <x:v>OP00212</x:v>
      </x:c>
      <x:c r="B213" s="5" t="str">
        <x:v>2026-03-04 04:00:00</x:v>
      </x:c>
      <x:c r="C213" s="5" t="str">
        <x:v>S004</x:v>
      </x:c>
      <x:c r="D213" s="5" t="str">
        <x:v>A011</x:v>
      </x:c>
      <x:c r="E213" s="5" t="str">
        <x:v>NIGHT</x:v>
      </x:c>
      <x:c r="F213" s="9" t="n">
        <x:v>213.82</x:v>
      </x:c>
      <x:c r="G213" s="9" t="n">
        <x:v>275791.91</x:v>
      </x:c>
      <x:c r="H213" s="9" t="n">
        <x:v>0.369</x:v>
      </x:c>
      <x:c r="I213" s="9" t="n">
        <x:v>97.62</x:v>
      </x:c>
      <x:c r="J213" s="9" t="n">
        <x:v>0.17</x:v>
      </x:c>
      <x:c r="K213" s="5" t="str">
        <x:v>NONE</x:v>
      </x:c>
      <x:c r="L213" s="10" t="n">
        <x:v>0</x:v>
      </x:c>
      <x:c r="M213" s="5" t="n">
        <x:v>0</x:v>
      </x:c>
      <x:c r="N213" s="5" t="str">
        <x:v>NORMAL</x:v>
      </x:c>
      <x:c r="O213" s="11" t="str">
        <x:f>LEFT(B213,7)</x:f>
        <x:v>2026-03</x:v>
      </x:c>
    </x:row>
    <x:row r="214">
      <x:c r="A214" s="5" t="str">
        <x:v>OP00213</x:v>
      </x:c>
      <x:c r="B214" s="5" t="str">
        <x:v>2026-03-06 08:00:00</x:v>
      </x:c>
      <x:c r="C214" s="5" t="str">
        <x:v>S001</x:v>
      </x:c>
      <x:c r="D214" s="5" t="str">
        <x:v>A003</x:v>
      </x:c>
      <x:c r="E214" s="5" t="str">
        <x:v>DAY</x:v>
      </x:c>
      <x:c r="F214" s="9" t="n">
        <x:v>452.08</x:v>
      </x:c>
      <x:c r="G214" s="9" t="n">
        <x:v>588948.45</x:v>
      </x:c>
      <x:c r="H214" s="9" t="n">
        <x:v>0.667</x:v>
      </x:c>
      <x:c r="I214" s="9" t="n">
        <x:v>97.55</x:v>
      </x:c>
      <x:c r="J214" s="9" t="n">
        <x:v>0.08</x:v>
      </x:c>
      <x:c r="K214" s="5" t="str">
        <x:v>NONE</x:v>
      </x:c>
      <x:c r="L214" s="10" t="n">
        <x:v>0</x:v>
      </x:c>
      <x:c r="M214" s="5" t="n">
        <x:v>0</x:v>
      </x:c>
      <x:c r="N214" s="5" t="str">
        <x:v>NORMAL</x:v>
      </x:c>
      <x:c r="O214" s="11" t="str">
        <x:f>LEFT(B214,7)</x:f>
        <x:v>2026-03</x:v>
      </x:c>
    </x:row>
    <x:row r="215">
      <x:c r="A215" s="5" t="str">
        <x:v>OP00214</x:v>
      </x:c>
      <x:c r="B215" s="5" t="str">
        <x:v>2026-03-08 12:00:00</x:v>
      </x:c>
      <x:c r="C215" s="5" t="str">
        <x:v>S002</x:v>
      </x:c>
      <x:c r="D215" s="5" t="str">
        <x:v>A006</x:v>
      </x:c>
      <x:c r="E215" s="5" t="str">
        <x:v>DAY</x:v>
      </x:c>
      <x:c r="F215" s="9" t="n">
        <x:v>99.2</x:v>
      </x:c>
      <x:c r="G215" s="9" t="n">
        <x:v>131962.4</x:v>
      </x:c>
      <x:c r="H215" s="9" t="n">
        <x:v>0.508</x:v>
      </x:c>
      <x:c r="I215" s="9" t="n">
        <x:v>97.16</x:v>
      </x:c>
      <x:c r="J215" s="9" t="n">
        <x:v>0.1</x:v>
      </x:c>
      <x:c r="K215" s="5" t="str">
        <x:v>NONE</x:v>
      </x:c>
      <x:c r="L215" s="10" t="n">
        <x:v>0</x:v>
      </x:c>
      <x:c r="M215" s="5" t="n">
        <x:v>0</x:v>
      </x:c>
      <x:c r="N215" s="5" t="str">
        <x:v>NORMAL</x:v>
      </x:c>
      <x:c r="O215" s="11" t="str">
        <x:f>LEFT(B215,7)</x:f>
        <x:v>2026-03</x:v>
      </x:c>
    </x:row>
    <x:row r="216">
      <x:c r="A216" s="5" t="str">
        <x:v>OP00215</x:v>
      </x:c>
      <x:c r="B216" s="5" t="str">
        <x:v>2026-03-10 16:00:00</x:v>
      </x:c>
      <x:c r="C216" s="5" t="str">
        <x:v>S003</x:v>
      </x:c>
      <x:c r="D216" s="5" t="str">
        <x:v>A009</x:v>
      </x:c>
      <x:c r="E216" s="5" t="str">
        <x:v>DAY</x:v>
      </x:c>
      <x:c r="F216" s="9" t="n">
        <x:v>652.5</x:v>
      </x:c>
      <x:c r="G216" s="9" t="n">
        <x:v>869008.98</x:v>
      </x:c>
      <x:c r="H216" s="9" t="n">
        <x:v>0.538</x:v>
      </x:c>
      <x:c r="I216" s="9" t="n">
        <x:v>98.32</x:v>
      </x:c>
      <x:c r="J216" s="9" t="n">
        <x:v>0.16</x:v>
      </x:c>
      <x:c r="K216" s="5" t="str">
        <x:v>NONE</x:v>
      </x:c>
      <x:c r="L216" s="10" t="n">
        <x:v>0</x:v>
      </x:c>
      <x:c r="M216" s="5" t="n">
        <x:v>0</x:v>
      </x:c>
      <x:c r="N216" s="5" t="str">
        <x:v>NORMAL</x:v>
      </x:c>
      <x:c r="O216" s="11" t="str">
        <x:f>LEFT(B216,7)</x:f>
        <x:v>2026-03</x:v>
      </x:c>
    </x:row>
    <x:row r="217">
      <x:c r="A217" s="5" t="str">
        <x:v>OP00216</x:v>
      </x:c>
      <x:c r="B217" s="5" t="str">
        <x:v>2026-03-12 20:00:00</x:v>
      </x:c>
      <x:c r="C217" s="5" t="str">
        <x:v>S004</x:v>
      </x:c>
      <x:c r="D217" s="5" t="str">
        <x:v>A012</x:v>
      </x:c>
      <x:c r="E217" s="5" t="str">
        <x:v>NIGHT</x:v>
      </x:c>
      <x:c r="F217" s="9" t="n">
        <x:v>282.06</x:v>
      </x:c>
      <x:c r="G217" s="9" t="n">
        <x:v>387097.55</x:v>
      </x:c>
      <x:c r="H217" s="9" t="n">
        <x:v>0.6</x:v>
      </x:c>
      <x:c r="I217" s="9" t="n">
        <x:v>98.77</x:v>
      </x:c>
      <x:c r="J217" s="9" t="n">
        <x:v>0.15</x:v>
      </x:c>
      <x:c r="K217" s="5" t="str">
        <x:v>NONE</x:v>
      </x:c>
      <x:c r="L217" s="10" t="n">
        <x:v>0</x:v>
      </x:c>
      <x:c r="M217" s="5" t="n">
        <x:v>0</x:v>
      </x:c>
      <x:c r="N217" s="5" t="str">
        <x:v>NORMAL</x:v>
      </x:c>
      <x:c r="O217" s="11" t="str">
        <x:f>LEFT(B217,7)</x:f>
        <x:v>2026-03</x:v>
      </x:c>
    </x:row>
    <x:row r="218">
      <x:c r="A218" s="5" t="str">
        <x:v>OP00217</x:v>
      </x:c>
      <x:c r="B218" s="5" t="str">
        <x:v>2026-03-14 00:00:00</x:v>
      </x:c>
      <x:c r="C218" s="5" t="str">
        <x:v>S001</x:v>
      </x:c>
      <x:c r="D218" s="5" t="str">
        <x:v>A001</x:v>
      </x:c>
      <x:c r="E218" s="5" t="str">
        <x:v>NIGHT</x:v>
      </x:c>
      <x:c r="F218" s="9" t="n">
        <x:v>456.61</x:v>
      </x:c>
      <x:c r="G218" s="9" t="n">
        <x:v>614100.97</x:v>
      </x:c>
      <x:c r="H218" s="9" t="n">
        <x:v>0.143</x:v>
      </x:c>
      <x:c r="I218" s="9" t="n">
        <x:v>97.64</x:v>
      </x:c>
      <x:c r="J218" s="9" t="n">
        <x:v>0.17</x:v>
      </x:c>
      <x:c r="K218" s="5" t="str">
        <x:v>NONE</x:v>
      </x:c>
      <x:c r="L218" s="10" t="n">
        <x:v>0</x:v>
      </x:c>
      <x:c r="M218" s="5" t="n">
        <x:v>0</x:v>
      </x:c>
      <x:c r="N218" s="5" t="str">
        <x:v>NORMAL</x:v>
      </x:c>
      <x:c r="O218" s="11" t="str">
        <x:f>LEFT(B218,7)</x:f>
        <x:v>2026-03</x:v>
      </x:c>
    </x:row>
    <x:row r="219">
      <x:c r="A219" s="5" t="str">
        <x:v>OP00218</x:v>
      </x:c>
      <x:c r="B219" s="5" t="str">
        <x:v>2026-03-16 04:00:00</x:v>
      </x:c>
      <x:c r="C219" s="5" t="str">
        <x:v>S002</x:v>
      </x:c>
      <x:c r="D219" s="5" t="str">
        <x:v>A004</x:v>
      </x:c>
      <x:c r="E219" s="5" t="str">
        <x:v>NIGHT</x:v>
      </x:c>
      <x:c r="F219" s="9" t="n">
        <x:v>87.17</x:v>
      </x:c>
      <x:c r="G219" s="9" t="n">
        <x:v>121814.87</x:v>
      </x:c>
      <x:c r="H219" s="9" t="n">
        <x:v>0.352</x:v>
      </x:c>
      <x:c r="I219" s="9" t="n">
        <x:v>98.23</x:v>
      </x:c>
      <x:c r="J219" s="9" t="n">
        <x:v>1.2</x:v>
      </x:c>
      <x:c r="K219" s="5" t="str">
        <x:v>PREVENTIVE</x:v>
      </x:c>
      <x:c r="L219" s="10" t="n">
        <x:v>6037.05</x:v>
      </x:c>
      <x:c r="M219" s="5" t="n">
        <x:v>0</x:v>
      </x:c>
      <x:c r="N219" s="5" t="str">
        <x:v>NORMAL</x:v>
      </x:c>
      <x:c r="O219" s="11" t="str">
        <x:f>LEFT(B219,7)</x:f>
        <x:v>2026-03</x:v>
      </x:c>
    </x:row>
    <x:row r="220">
      <x:c r="A220" s="5" t="str">
        <x:v>OP00219</x:v>
      </x:c>
      <x:c r="B220" s="5" t="str">
        <x:v>2026-03-18 08:00:00</x:v>
      </x:c>
      <x:c r="C220" s="5" t="str">
        <x:v>S003</x:v>
      </x:c>
      <x:c r="D220" s="5" t="str">
        <x:v>A007</x:v>
      </x:c>
      <x:c r="E220" s="5" t="str">
        <x:v>DAY</x:v>
      </x:c>
      <x:c r="F220" s="9" t="n">
        <x:v>625.93</x:v>
      </x:c>
      <x:c r="G220" s="9" t="n">
        <x:v>868611.37</x:v>
      </x:c>
      <x:c r="H220" s="9" t="n">
        <x:v>0.315</x:v>
      </x:c>
      <x:c r="I220" s="9" t="n">
        <x:v>96.64</x:v>
      </x:c>
      <x:c r="J220" s="9" t="n">
        <x:v>0.15</x:v>
      </x:c>
      <x:c r="K220" s="5" t="str">
        <x:v>NONE</x:v>
      </x:c>
      <x:c r="L220" s="10" t="n">
        <x:v>0</x:v>
      </x:c>
      <x:c r="M220" s="5" t="n">
        <x:v>0</x:v>
      </x:c>
      <x:c r="N220" s="5" t="str">
        <x:v>NORMAL</x:v>
      </x:c>
      <x:c r="O220" s="11" t="str">
        <x:f>LEFT(B220,7)</x:f>
        <x:v>2026-03</x:v>
      </x:c>
    </x:row>
    <x:row r="221">
      <x:c r="A221" s="5" t="str">
        <x:v>OP00220</x:v>
      </x:c>
      <x:c r="B221" s="5" t="str">
        <x:v>2026-03-20 12:00:00</x:v>
      </x:c>
      <x:c r="C221" s="5" t="str">
        <x:v>S004</x:v>
      </x:c>
      <x:c r="D221" s="5" t="str">
        <x:v>A010</x:v>
      </x:c>
      <x:c r="E221" s="5" t="str">
        <x:v>DAY</x:v>
      </x:c>
      <x:c r="F221" s="9" t="n">
        <x:v>245.71</x:v>
      </x:c>
      <x:c r="G221" s="9" t="n">
        <x:v>318586.48</x:v>
      </x:c>
      <x:c r="H221" s="9" t="n">
        <x:v>0.287</x:v>
      </x:c>
      <x:c r="I221" s="9" t="n">
        <x:v>97.44</x:v>
      </x:c>
      <x:c r="J221" s="9" t="n">
        <x:v>0.09</x:v>
      </x:c>
      <x:c r="K221" s="5" t="str">
        <x:v>NONE</x:v>
      </x:c>
      <x:c r="L221" s="10" t="n">
        <x:v>0</x:v>
      </x:c>
      <x:c r="M221" s="5" t="n">
        <x:v>0</x:v>
      </x:c>
      <x:c r="N221" s="5" t="str">
        <x:v>NORMAL</x:v>
      </x:c>
      <x:c r="O221" s="11" t="str">
        <x:f>LEFT(B221,7)</x:f>
        <x:v>2026-03</x:v>
      </x:c>
    </x:row>
    <x:row r="222">
      <x:c r="A222" s="5" t="str">
        <x:v>OP00221</x:v>
      </x:c>
      <x:c r="B222" s="5" t="str">
        <x:v>2026-03-22 16:00:00</x:v>
      </x:c>
      <x:c r="C222" s="5" t="str">
        <x:v>S001</x:v>
      </x:c>
      <x:c r="D222" s="5" t="str">
        <x:v>A002</x:v>
      </x:c>
      <x:c r="E222" s="5" t="str">
        <x:v>DAY</x:v>
      </x:c>
      <x:c r="F222" s="9" t="n">
        <x:v>370.58</x:v>
      </x:c>
      <x:c r="G222" s="9" t="n">
        <x:v>487451.75</x:v>
      </x:c>
      <x:c r="H222" s="9" t="n">
        <x:v>0.228</x:v>
      </x:c>
      <x:c r="I222" s="9" t="n">
        <x:v>97.88</x:v>
      </x:c>
      <x:c r="J222" s="9" t="n">
        <x:v>0.68</x:v>
      </x:c>
      <x:c r="K222" s="5" t="str">
        <x:v>INSPECTION</x:v>
      </x:c>
      <x:c r="L222" s="10" t="n">
        <x:v>1961.67</x:v>
      </x:c>
      <x:c r="M222" s="5" t="n">
        <x:v>0</x:v>
      </x:c>
      <x:c r="N222" s="5" t="str">
        <x:v>NORMAL</x:v>
      </x:c>
      <x:c r="O222" s="11" t="str">
        <x:f>LEFT(B222,7)</x:f>
        <x:v>2026-03</x:v>
      </x:c>
    </x:row>
    <x:row r="223">
      <x:c r="A223" s="5" t="str">
        <x:v>OP00222</x:v>
      </x:c>
      <x:c r="B223" s="5" t="str">
        <x:v>2026-03-24 20:00:00</x:v>
      </x:c>
      <x:c r="C223" s="5" t="str">
        <x:v>S002</x:v>
      </x:c>
      <x:c r="D223" s="5" t="str">
        <x:v>A005</x:v>
      </x:c>
      <x:c r="E223" s="5" t="str">
        <x:v>NIGHT</x:v>
      </x:c>
      <x:c r="F223" s="9" t="n">
        <x:v>92.27</x:v>
      </x:c>
      <x:c r="G223" s="9" t="n">
        <x:v>120204.31</x:v>
      </x:c>
      <x:c r="H223" s="9" t="n">
        <x:v>0.654</x:v>
      </x:c>
      <x:c r="I223" s="9" t="n">
        <x:v>96.29</x:v>
      </x:c>
      <x:c r="J223" s="9" t="n">
        <x:v>0.07</x:v>
      </x:c>
      <x:c r="K223" s="5" t="str">
        <x:v>NONE</x:v>
      </x:c>
      <x:c r="L223" s="10" t="n">
        <x:v>0</x:v>
      </x:c>
      <x:c r="M223" s="5" t="n">
        <x:v>0</x:v>
      </x:c>
      <x:c r="N223" s="5" t="str">
        <x:v>NORMAL</x:v>
      </x:c>
      <x:c r="O223" s="11" t="str">
        <x:f>LEFT(B223,7)</x:f>
        <x:v>2026-03</x:v>
      </x:c>
    </x:row>
    <x:row r="224">
      <x:c r="A224" s="5" t="str">
        <x:v>OP00223</x:v>
      </x:c>
      <x:c r="B224" s="5" t="str">
        <x:v>2026-03-26 00:00:00</x:v>
      </x:c>
      <x:c r="C224" s="5" t="str">
        <x:v>S003</x:v>
      </x:c>
      <x:c r="D224" s="5" t="str">
        <x:v>A008</x:v>
      </x:c>
      <x:c r="E224" s="5" t="str">
        <x:v>NIGHT</x:v>
      </x:c>
      <x:c r="F224" s="9" t="n">
        <x:v>520.25</x:v>
      </x:c>
      <x:c r="G224" s="9" t="n">
        <x:v>702205.33</x:v>
      </x:c>
      <x:c r="H224" s="9" t="n">
        <x:v>0.133</x:v>
      </x:c>
      <x:c r="I224" s="9" t="n">
        <x:v>95.93</x:v>
      </x:c>
      <x:c r="J224" s="9" t="n">
        <x:v>0.15</x:v>
      </x:c>
      <x:c r="K224" s="5" t="str">
        <x:v>NONE</x:v>
      </x:c>
      <x:c r="L224" s="10" t="n">
        <x:v>0</x:v>
      </x:c>
      <x:c r="M224" s="5" t="n">
        <x:v>0</x:v>
      </x:c>
      <x:c r="N224" s="5" t="str">
        <x:v>NORMAL</x:v>
      </x:c>
      <x:c r="O224" s="11" t="str">
        <x:f>LEFT(B224,7)</x:f>
        <x:v>2026-03</x:v>
      </x:c>
    </x:row>
    <x:row r="225">
      <x:c r="A225" s="5" t="str">
        <x:v>OP00224</x:v>
      </x:c>
      <x:c r="B225" s="5" t="str">
        <x:v>2026-03-28 04:00:00</x:v>
      </x:c>
      <x:c r="C225" s="5" t="str">
        <x:v>S004</x:v>
      </x:c>
      <x:c r="D225" s="5" t="str">
        <x:v>A011</x:v>
      </x:c>
      <x:c r="E225" s="5" t="str">
        <x:v>NIGHT</x:v>
      </x:c>
      <x:c r="F225" s="9" t="n">
        <x:v>231.17</x:v>
      </x:c>
      <x:c r="G225" s="9" t="n">
        <x:v>323133.97</x:v>
      </x:c>
      <x:c r="H225" s="9" t="n">
        <x:v>0.185</x:v>
      </x:c>
      <x:c r="I225" s="9" t="n">
        <x:v>95.7</x:v>
      </x:c>
      <x:c r="J225" s="9" t="n">
        <x:v>0.11</x:v>
      </x:c>
      <x:c r="K225" s="5" t="str">
        <x:v>NONE</x:v>
      </x:c>
      <x:c r="L225" s="10" t="n">
        <x:v>0</x:v>
      </x:c>
      <x:c r="M225" s="5" t="n">
        <x:v>0</x:v>
      </x:c>
      <x:c r="N225" s="5" t="str">
        <x:v>NORMAL</x:v>
      </x:c>
      <x:c r="O225" s="11" t="str">
        <x:f>LEFT(B225,7)</x:f>
        <x:v>2026-03</x:v>
      </x:c>
    </x:row>
    <x:row r="226">
      <x:c r="A226" s="5" t="str">
        <x:v>OP00225</x:v>
      </x:c>
      <x:c r="B226" s="5" t="str">
        <x:v>2026-03-30 08:00:00</x:v>
      </x:c>
      <x:c r="C226" s="5" t="str">
        <x:v>S001</x:v>
      </x:c>
      <x:c r="D226" s="5" t="str">
        <x:v>A003</x:v>
      </x:c>
      <x:c r="E226" s="5" t="str">
        <x:v>DAY</x:v>
      </x:c>
      <x:c r="F226" s="9" t="n">
        <x:v>453.91</x:v>
      </x:c>
      <x:c r="G226" s="9" t="n">
        <x:v>597878.05</x:v>
      </x:c>
      <x:c r="H226" s="9" t="n">
        <x:v>0.297</x:v>
      </x:c>
      <x:c r="I226" s="9" t="n">
        <x:v>97.08</x:v>
      </x:c>
      <x:c r="J226" s="9" t="n">
        <x:v>1.55</x:v>
      </x:c>
      <x:c r="K226" s="5" t="str">
        <x:v>PREVENTIVE</x:v>
      </x:c>
      <x:c r="L226" s="10" t="n">
        <x:v>4964.34</x:v>
      </x:c>
      <x:c r="M226" s="5" t="n">
        <x:v>0</x:v>
      </x:c>
      <x:c r="N226" s="5" t="str">
        <x:v>NORMAL</x:v>
      </x:c>
      <x:c r="O226" s="11" t="str">
        <x:f>LEFT(B226,7)</x:f>
        <x:v>2026-03</x:v>
      </x:c>
    </x:row>
    <x:row r="227">
      <x:c r="A227" s="5" t="str">
        <x:v>OP00226</x:v>
      </x:c>
      <x:c r="B227" s="5" t="str">
        <x:v>2026-04-01 12:00:00</x:v>
      </x:c>
      <x:c r="C227" s="5" t="str">
        <x:v>S002</x:v>
      </x:c>
      <x:c r="D227" s="5" t="str">
        <x:v>A006</x:v>
      </x:c>
      <x:c r="E227" s="5" t="str">
        <x:v>DAY</x:v>
      </x:c>
      <x:c r="F227" s="9" t="n">
        <x:v>90.23</x:v>
      </x:c>
      <x:c r="G227" s="9" t="n">
        <x:v>124534.38</x:v>
      </x:c>
      <x:c r="H227" s="9" t="n">
        <x:v>0.535</x:v>
      </x:c>
      <x:c r="I227" s="9" t="n">
        <x:v>96.56</x:v>
      </x:c>
      <x:c r="J227" s="9" t="n">
        <x:v>0.02</x:v>
      </x:c>
      <x:c r="K227" s="5" t="str">
        <x:v>NONE</x:v>
      </x:c>
      <x:c r="L227" s="10" t="n">
        <x:v>0</x:v>
      </x:c>
      <x:c r="M227" s="5" t="n">
        <x:v>0</x:v>
      </x:c>
      <x:c r="N227" s="5" t="str">
        <x:v>NORMAL</x:v>
      </x:c>
      <x:c r="O227" s="11" t="str">
        <x:f>LEFT(B227,7)</x:f>
        <x:v>2026-04</x:v>
      </x:c>
    </x:row>
    <x:row r="228">
      <x:c r="A228" s="5" t="str">
        <x:v>OP00227</x:v>
      </x:c>
      <x:c r="B228" s="5" t="str">
        <x:v>2026-04-03 16:00:00</x:v>
      </x:c>
      <x:c r="C228" s="5" t="str">
        <x:v>S003</x:v>
      </x:c>
      <x:c r="D228" s="5" t="str">
        <x:v>A009</x:v>
      </x:c>
      <x:c r="E228" s="5" t="str">
        <x:v>DAY</x:v>
      </x:c>
      <x:c r="F228" s="9" t="n">
        <x:v>665.16</x:v>
      </x:c>
      <x:c r="G228" s="9" t="n">
        <x:v>856266.25</x:v>
      </x:c>
      <x:c r="H228" s="9" t="n">
        <x:v>0.607</x:v>
      </x:c>
      <x:c r="I228" s="9" t="n">
        <x:v>97.32</x:v>
      </x:c>
      <x:c r="J228" s="9" t="n">
        <x:v>0.12</x:v>
      </x:c>
      <x:c r="K228" s="5" t="str">
        <x:v>NONE</x:v>
      </x:c>
      <x:c r="L228" s="10" t="n">
        <x:v>0</x:v>
      </x:c>
      <x:c r="M228" s="5" t="n">
        <x:v>0</x:v>
      </x:c>
      <x:c r="N228" s="5" t="str">
        <x:v>NORMAL</x:v>
      </x:c>
      <x:c r="O228" s="11" t="str">
        <x:f>LEFT(B228,7)</x:f>
        <x:v>2026-04</x:v>
      </x:c>
    </x:row>
    <x:row r="229">
      <x:c r="A229" s="5" t="str">
        <x:v>OP00228</x:v>
      </x:c>
      <x:c r="B229" s="5" t="str">
        <x:v>2026-04-05 20:00:00</x:v>
      </x:c>
      <x:c r="C229" s="5" t="str">
        <x:v>S004</x:v>
      </x:c>
      <x:c r="D229" s="5" t="str">
        <x:v>A012</x:v>
      </x:c>
      <x:c r="E229" s="5" t="str">
        <x:v>NIGHT</x:v>
      </x:c>
      <x:c r="F229" s="9" t="n">
        <x:v>240.88</x:v>
      </x:c>
      <x:c r="G229" s="9" t="n">
        <x:v>330827.52</x:v>
      </x:c>
      <x:c r="H229" s="9" t="n">
        <x:v>0.186</x:v>
      </x:c>
      <x:c r="I229" s="9" t="n">
        <x:v>98.68</x:v>
      </x:c>
      <x:c r="J229" s="9" t="n">
        <x:v>0.17</x:v>
      </x:c>
      <x:c r="K229" s="5" t="str">
        <x:v>NONE</x:v>
      </x:c>
      <x:c r="L229" s="10" t="n">
        <x:v>0</x:v>
      </x:c>
      <x:c r="M229" s="5" t="n">
        <x:v>0</x:v>
      </x:c>
      <x:c r="N229" s="5" t="str">
        <x:v>NORMAL</x:v>
      </x:c>
      <x:c r="O229" s="11" t="str">
        <x:f>LEFT(B229,7)</x:f>
        <x:v>2026-04</x:v>
      </x:c>
    </x:row>
    <x:row r="230">
      <x:c r="A230" s="5" t="str">
        <x:v>OP00229</x:v>
      </x:c>
      <x:c r="B230" s="5" t="str">
        <x:v>2026-04-07 00:00:00</x:v>
      </x:c>
      <x:c r="C230" s="5" t="str">
        <x:v>S001</x:v>
      </x:c>
      <x:c r="D230" s="5" t="str">
        <x:v>A001</x:v>
      </x:c>
      <x:c r="E230" s="5" t="str">
        <x:v>NIGHT</x:v>
      </x:c>
      <x:c r="F230" s="9" t="n">
        <x:v>394.62</x:v>
      </x:c>
      <x:c r="G230" s="9" t="n">
        <x:v>515397.25</x:v>
      </x:c>
      <x:c r="H230" s="9" t="n">
        <x:v>0.321</x:v>
      </x:c>
      <x:c r="I230" s="9" t="n">
        <x:v>98.69</x:v>
      </x:c>
      <x:c r="J230" s="9" t="n">
        <x:v>0.1</x:v>
      </x:c>
      <x:c r="K230" s="5" t="str">
        <x:v>NONE</x:v>
      </x:c>
      <x:c r="L230" s="10" t="n">
        <x:v>0</x:v>
      </x:c>
      <x:c r="M230" s="5" t="n">
        <x:v>0</x:v>
      </x:c>
      <x:c r="N230" s="5" t="str">
        <x:v>NORMAL</x:v>
      </x:c>
      <x:c r="O230" s="11" t="str">
        <x:f>LEFT(B230,7)</x:f>
        <x:v>2026-04</x:v>
      </x:c>
    </x:row>
    <x:row r="231">
      <x:c r="A231" s="5" t="str">
        <x:v>OP00230</x:v>
      </x:c>
      <x:c r="B231" s="5" t="str">
        <x:v>2026-04-09 04:00:00</x:v>
      </x:c>
      <x:c r="C231" s="5" t="str">
        <x:v>S002</x:v>
      </x:c>
      <x:c r="D231" s="5" t="str">
        <x:v>A004</x:v>
      </x:c>
      <x:c r="E231" s="5" t="str">
        <x:v>NIGHT</x:v>
      </x:c>
      <x:c r="F231" s="9" t="n">
        <x:v>85.6</x:v>
      </x:c>
      <x:c r="G231" s="9" t="n">
        <x:v>109010.35</x:v>
      </x:c>
      <x:c r="H231" s="9" t="n">
        <x:v>0.625</x:v>
      </x:c>
      <x:c r="I231" s="9" t="n">
        <x:v>96.15</x:v>
      </x:c>
      <x:c r="J231" s="9" t="n">
        <x:v>0.05</x:v>
      </x:c>
      <x:c r="K231" s="5" t="str">
        <x:v>NONE</x:v>
      </x:c>
      <x:c r="L231" s="10" t="n">
        <x:v>0</x:v>
      </x:c>
      <x:c r="M231" s="5" t="n">
        <x:v>0</x:v>
      </x:c>
      <x:c r="N231" s="5" t="str">
        <x:v>NORMAL</x:v>
      </x:c>
      <x:c r="O231" s="11" t="str">
        <x:f>LEFT(B231,7)</x:f>
        <x:v>2026-04</x:v>
      </x:c>
    </x:row>
    <x:row r="232">
      <x:c r="A232" s="5" t="str">
        <x:v>OP00231</x:v>
      </x:c>
      <x:c r="B232" s="5" t="str">
        <x:v>2026-04-11 08:00:00</x:v>
      </x:c>
      <x:c r="C232" s="5" t="str">
        <x:v>S003</x:v>
      </x:c>
      <x:c r="D232" s="5" t="str">
        <x:v>A007</x:v>
      </x:c>
      <x:c r="E232" s="5" t="str">
        <x:v>DAY</x:v>
      </x:c>
      <x:c r="F232" s="9" t="n">
        <x:v>489.99</x:v>
      </x:c>
      <x:c r="G232" s="9" t="n">
        <x:v>653789.04</x:v>
      </x:c>
      <x:c r="H232" s="9" t="n">
        <x:v>0.543</x:v>
      </x:c>
      <x:c r="I232" s="9" t="n">
        <x:v>97.86</x:v>
      </x:c>
      <x:c r="J232" s="9" t="n">
        <x:v>0.2</x:v>
      </x:c>
      <x:c r="K232" s="5" t="str">
        <x:v>NONE</x:v>
      </x:c>
      <x:c r="L232" s="10" t="n">
        <x:v>0</x:v>
      </x:c>
      <x:c r="M232" s="5" t="n">
        <x:v>0</x:v>
      </x:c>
      <x:c r="N232" s="5" t="str">
        <x:v>NORMAL</x:v>
      </x:c>
      <x:c r="O232" s="11" t="str">
        <x:f>LEFT(B232,7)</x:f>
        <x:v>2026-04</x:v>
      </x:c>
    </x:row>
    <x:row r="233">
      <x:c r="A233" s="5" t="str">
        <x:v>OP00232</x:v>
      </x:c>
      <x:c r="B233" s="5" t="str">
        <x:v>2026-04-13 12:00:00</x:v>
      </x:c>
      <x:c r="C233" s="5" t="str">
        <x:v>S004</x:v>
      </x:c>
      <x:c r="D233" s="5" t="str">
        <x:v>A010</x:v>
      </x:c>
      <x:c r="E233" s="5" t="str">
        <x:v>DAY</x:v>
      </x:c>
      <x:c r="F233" s="9" t="n">
        <x:v>230.61</x:v>
      </x:c>
      <x:c r="G233" s="9" t="n">
        <x:v>291071.37</x:v>
      </x:c>
      <x:c r="H233" s="9" t="n">
        <x:v>0.347</x:v>
      </x:c>
      <x:c r="I233" s="9" t="n">
        <x:v>98.75</x:v>
      </x:c>
      <x:c r="J233" s="9" t="n">
        <x:v>0.23</x:v>
      </x:c>
      <x:c r="K233" s="5" t="str">
        <x:v>INSPECTION</x:v>
      </x:c>
      <x:c r="L233" s="10" t="n">
        <x:v>1815.36</x:v>
      </x:c>
      <x:c r="M233" s="5" t="n">
        <x:v>0</x:v>
      </x:c>
      <x:c r="N233" s="5" t="str">
        <x:v>NORMAL</x:v>
      </x:c>
      <x:c r="O233" s="11" t="str">
        <x:f>LEFT(B233,7)</x:f>
        <x:v>2026-04</x:v>
      </x:c>
    </x:row>
    <x:row r="234">
      <x:c r="A234" s="5" t="str">
        <x:v>OP00233</x:v>
      </x:c>
      <x:c r="B234" s="5" t="str">
        <x:v>2026-04-15 16:00:00</x:v>
      </x:c>
      <x:c r="C234" s="5" t="str">
        <x:v>S001</x:v>
      </x:c>
      <x:c r="D234" s="5" t="str">
        <x:v>A002</x:v>
      </x:c>
      <x:c r="E234" s="5" t="str">
        <x:v>DAY</x:v>
      </x:c>
      <x:c r="F234" s="9" t="n">
        <x:v>375.93</x:v>
      </x:c>
      <x:c r="G234" s="9" t="n">
        <x:v>505465.55</x:v>
      </x:c>
      <x:c r="H234" s="9" t="n">
        <x:v>0.674</x:v>
      </x:c>
      <x:c r="I234" s="9" t="n">
        <x:v>96.27</x:v>
      </x:c>
      <x:c r="J234" s="9" t="n">
        <x:v>6.96</x:v>
      </x:c>
      <x:c r="K234" s="5" t="str">
        <x:v>CORRECTIVE</x:v>
      </x:c>
      <x:c r="L234" s="10" t="n">
        <x:v>40639.87</x:v>
      </x:c>
      <x:c r="M234" s="5" t="n">
        <x:v>0</x:v>
      </x:c>
      <x:c r="N234" s="5" t="str">
        <x:v>WATCH</x:v>
      </x:c>
      <x:c r="O234" s="11" t="str">
        <x:f>LEFT(B234,7)</x:f>
        <x:v>2026-04</x:v>
      </x:c>
    </x:row>
    <x:row r="235">
      <x:c r="A235" s="5" t="str">
        <x:v>OP00234</x:v>
      </x:c>
      <x:c r="B235" s="5" t="str">
        <x:v>2026-04-17 20:00:00</x:v>
      </x:c>
      <x:c r="C235" s="5" t="str">
        <x:v>S002</x:v>
      </x:c>
      <x:c r="D235" s="5" t="str">
        <x:v>A005</x:v>
      </x:c>
      <x:c r="E235" s="5" t="str">
        <x:v>NIGHT</x:v>
      </x:c>
      <x:c r="F235" s="9" t="n">
        <x:v>88.59</x:v>
      </x:c>
      <x:c r="G235" s="9" t="n">
        <x:v>112881.3</x:v>
      </x:c>
      <x:c r="H235" s="9" t="n">
        <x:v>0.3</x:v>
      </x:c>
      <x:c r="I235" s="9" t="n">
        <x:v>96.8</x:v>
      </x:c>
      <x:c r="J235" s="9" t="n">
        <x:v>0.03</x:v>
      </x:c>
      <x:c r="K235" s="5" t="str">
        <x:v>NONE</x:v>
      </x:c>
      <x:c r="L235" s="10" t="n">
        <x:v>0</x:v>
      </x:c>
      <x:c r="M235" s="5" t="n">
        <x:v>0</x:v>
      </x:c>
      <x:c r="N235" s="5" t="str">
        <x:v>NORMAL</x:v>
      </x:c>
      <x:c r="O235" s="11" t="str">
        <x:f>LEFT(B235,7)</x:f>
        <x:v>2026-04</x:v>
      </x:c>
    </x:row>
    <x:row r="236">
      <x:c r="A236" s="5" t="str">
        <x:v>OP00235</x:v>
      </x:c>
      <x:c r="B236" s="5" t="str">
        <x:v>2026-04-19 00:00:00</x:v>
      </x:c>
      <x:c r="C236" s="5" t="str">
        <x:v>S003</x:v>
      </x:c>
      <x:c r="D236" s="5" t="str">
        <x:v>A008</x:v>
      </x:c>
      <x:c r="E236" s="5" t="str">
        <x:v>NIGHT</x:v>
      </x:c>
      <x:c r="F236" s="9" t="n">
        <x:v>622.96</x:v>
      </x:c>
      <x:c r="G236" s="9" t="n">
        <x:v>801485.33</x:v>
      </x:c>
      <x:c r="H236" s="9" t="n">
        <x:v>0.278</x:v>
      </x:c>
      <x:c r="I236" s="9" t="n">
        <x:v>96.96</x:v>
      </x:c>
      <x:c r="J236" s="9" t="n">
        <x:v>0.23</x:v>
      </x:c>
      <x:c r="K236" s="5" t="str">
        <x:v>NONE</x:v>
      </x:c>
      <x:c r="L236" s="10" t="n">
        <x:v>0</x:v>
      </x:c>
      <x:c r="M236" s="5" t="n">
        <x:v>0</x:v>
      </x:c>
      <x:c r="N236" s="5" t="str">
        <x:v>NORMAL</x:v>
      </x:c>
      <x:c r="O236" s="11" t="str">
        <x:f>LEFT(B236,7)</x:f>
        <x:v>2026-04</x:v>
      </x:c>
    </x:row>
    <x:row r="237">
      <x:c r="A237" s="5" t="str">
        <x:v>OP00236</x:v>
      </x:c>
      <x:c r="B237" s="5" t="str">
        <x:v>2026-04-21 04:00:00</x:v>
      </x:c>
      <x:c r="C237" s="5" t="str">
        <x:v>S004</x:v>
      </x:c>
      <x:c r="D237" s="5" t="str">
        <x:v>A011</x:v>
      </x:c>
      <x:c r="E237" s="5" t="str">
        <x:v>NIGHT</x:v>
      </x:c>
      <x:c r="F237" s="9" t="n">
        <x:v>245.74</x:v>
      </x:c>
      <x:c r="G237" s="9" t="n">
        <x:v>318269.94</x:v>
      </x:c>
      <x:c r="H237" s="9" t="n">
        <x:v>0.175</x:v>
      </x:c>
      <x:c r="I237" s="9" t="n">
        <x:v>97.31</x:v>
      </x:c>
      <x:c r="J237" s="9" t="n">
        <x:v>0.13</x:v>
      </x:c>
      <x:c r="K237" s="5" t="str">
        <x:v>NONE</x:v>
      </x:c>
      <x:c r="L237" s="10" t="n">
        <x:v>0</x:v>
      </x:c>
      <x:c r="M237" s="5" t="n">
        <x:v>1</x:v>
      </x:c>
      <x:c r="N237" s="5" t="str">
        <x:v>ALARM</x:v>
      </x:c>
      <x:c r="O237" s="11" t="str">
        <x:f>LEFT(B237,7)</x:f>
        <x:v>2026-04</x:v>
      </x:c>
    </x:row>
    <x:row r="238">
      <x:c r="A238" s="5" t="str">
        <x:v>OP00237</x:v>
      </x:c>
      <x:c r="B238" s="5" t="str">
        <x:v>2026-04-23 08:00:00</x:v>
      </x:c>
      <x:c r="C238" s="5" t="str">
        <x:v>S001</x:v>
      </x:c>
      <x:c r="D238" s="5" t="str">
        <x:v>A003</x:v>
      </x:c>
      <x:c r="E238" s="5" t="str">
        <x:v>DAY</x:v>
      </x:c>
      <x:c r="F238" s="9" t="n">
        <x:v>380.73</x:v>
      </x:c>
      <x:c r="G238" s="9" t="n">
        <x:v>497984.05</x:v>
      </x:c>
      <x:c r="H238" s="9" t="n">
        <x:v>0.27</x:v>
      </x:c>
      <x:c r="I238" s="9" t="n">
        <x:v>98.14</x:v>
      </x:c>
      <x:c r="J238" s="9" t="n">
        <x:v>0.15</x:v>
      </x:c>
      <x:c r="K238" s="5" t="str">
        <x:v>NONE</x:v>
      </x:c>
      <x:c r="L238" s="10" t="n">
        <x:v>0</x:v>
      </x:c>
      <x:c r="M238" s="5" t="n">
        <x:v>0</x:v>
      </x:c>
      <x:c r="N238" s="5" t="str">
        <x:v>NORMAL</x:v>
      </x:c>
      <x:c r="O238" s="11" t="str">
        <x:f>LEFT(B238,7)</x:f>
        <x:v>2026-04</x:v>
      </x:c>
    </x:row>
    <x:row r="239">
      <x:c r="A239" s="5" t="str">
        <x:v>OP00238</x:v>
      </x:c>
      <x:c r="B239" s="5" t="str">
        <x:v>2026-04-25 12:00:00</x:v>
      </x:c>
      <x:c r="C239" s="5" t="str">
        <x:v>S002</x:v>
      </x:c>
      <x:c r="D239" s="5" t="str">
        <x:v>A006</x:v>
      </x:c>
      <x:c r="E239" s="5" t="str">
        <x:v>DAY</x:v>
      </x:c>
      <x:c r="F239" s="9" t="n">
        <x:v>85.71</x:v>
      </x:c>
      <x:c r="G239" s="9" t="n">
        <x:v>118213.4</x:v>
      </x:c>
      <x:c r="H239" s="9" t="n">
        <x:v>0.493</x:v>
      </x:c>
      <x:c r="I239" s="9" t="n">
        <x:v>98.71</x:v>
      </x:c>
      <x:c r="J239" s="9" t="n">
        <x:v>0.25</x:v>
      </x:c>
      <x:c r="K239" s="5" t="str">
        <x:v>NONE</x:v>
      </x:c>
      <x:c r="L239" s="10" t="n">
        <x:v>0</x:v>
      </x:c>
      <x:c r="M239" s="5" t="n">
        <x:v>0</x:v>
      </x:c>
      <x:c r="N239" s="5" t="str">
        <x:v>NORMAL</x:v>
      </x:c>
      <x:c r="O239" s="11" t="str">
        <x:f>LEFT(B239,7)</x:f>
        <x:v>2026-04</x:v>
      </x:c>
    </x:row>
    <x:row r="240">
      <x:c r="A240" s="5" t="str">
        <x:v>OP00239</x:v>
      </x:c>
      <x:c r="B240" s="5" t="str">
        <x:v>2026-04-27 16:00:00</x:v>
      </x:c>
      <x:c r="C240" s="5" t="str">
        <x:v>S003</x:v>
      </x:c>
      <x:c r="D240" s="5" t="str">
        <x:v>A009</x:v>
      </x:c>
      <x:c r="E240" s="5" t="str">
        <x:v>DAY</x:v>
      </x:c>
      <x:c r="F240" s="9" t="n">
        <x:v>563</x:v>
      </x:c>
      <x:c r="G240" s="9" t="n">
        <x:v>733934.44</x:v>
      </x:c>
      <x:c r="H240" s="9" t="n">
        <x:v>0.293</x:v>
      </x:c>
      <x:c r="I240" s="9" t="n">
        <x:v>98.64</x:v>
      </x:c>
      <x:c r="J240" s="9" t="n">
        <x:v>1.5</x:v>
      </x:c>
      <x:c r="K240" s="5" t="str">
        <x:v>PREVENTIVE</x:v>
      </x:c>
      <x:c r="L240" s="10" t="n">
        <x:v>4631.68</x:v>
      </x:c>
      <x:c r="M240" s="5" t="n">
        <x:v>0</x:v>
      </x:c>
      <x:c r="N240" s="5" t="str">
        <x:v>NORMAL</x:v>
      </x:c>
      <x:c r="O240" s="11" t="str">
        <x:f>LEFT(B240,7)</x:f>
        <x:v>2026-04</x:v>
      </x:c>
    </x:row>
    <x:row r="241">
      <x:c r="A241" s="5" t="str">
        <x:v>OP00240</x:v>
      </x:c>
      <x:c r="B241" s="5" t="str">
        <x:v>2026-04-29 20:00:00</x:v>
      </x:c>
      <x:c r="C241" s="5" t="str">
        <x:v>S004</x:v>
      </x:c>
      <x:c r="D241" s="5" t="str">
        <x:v>A012</x:v>
      </x:c>
      <x:c r="E241" s="5" t="str">
        <x:v>NIGHT</x:v>
      </x:c>
      <x:c r="F241" s="9" t="n">
        <x:v>211.55</x:v>
      </x:c>
      <x:c r="G241" s="9" t="n">
        <x:v>266795.82</x:v>
      </x:c>
      <x:c r="H241" s="9" t="n">
        <x:v>0.689</x:v>
      </x:c>
      <x:c r="I241" s="9" t="n">
        <x:v>97.32</x:v>
      </x:c>
      <x:c r="J241" s="9" t="n">
        <x:v>0.05</x:v>
      </x:c>
      <x:c r="K241" s="5" t="str">
        <x:v>NONE</x:v>
      </x:c>
      <x:c r="L241" s="10" t="n">
        <x:v>0</x:v>
      </x:c>
      <x:c r="M241" s="5" t="n">
        <x:v>0</x:v>
      </x:c>
      <x:c r="N241" s="5" t="str">
        <x:v>NORMAL</x:v>
      </x:c>
      <x:c r="O241" s="11" t="str">
        <x:f>LEFT(B241,7)</x:f>
        <x:v>2026-04</x:v>
      </x:c>
    </x:row>
    <x:row r="242">
      <x:c r="A242" s="5" t="str">
        <x:v>OP00241</x:v>
      </x:c>
      <x:c r="B242" s="5" t="str">
        <x:v>2026-05-01 00:00:00</x:v>
      </x:c>
      <x:c r="C242" s="5" t="str">
        <x:v>S001</x:v>
      </x:c>
      <x:c r="D242" s="5" t="str">
        <x:v>A001</x:v>
      </x:c>
      <x:c r="E242" s="5" t="str">
        <x:v>NIGHT</x:v>
      </x:c>
      <x:c r="F242" s="9" t="n">
        <x:v>463.97</x:v>
      </x:c>
      <x:c r="G242" s="9" t="n">
        <x:v>626852.2</x:v>
      </x:c>
      <x:c r="H242" s="9" t="n">
        <x:v>0.255</x:v>
      </x:c>
      <x:c r="I242" s="9" t="n">
        <x:v>97.14</x:v>
      </x:c>
      <x:c r="J242" s="9" t="n">
        <x:v>0.01</x:v>
      </x:c>
      <x:c r="K242" s="5" t="str">
        <x:v>NONE</x:v>
      </x:c>
      <x:c r="L242" s="10" t="n">
        <x:v>0</x:v>
      </x:c>
      <x:c r="M242" s="5" t="n">
        <x:v>0</x:v>
      </x:c>
      <x:c r="N242" s="5" t="str">
        <x:v>NORMAL</x:v>
      </x:c>
      <x:c r="O242" s="11" t="str">
        <x:f>LEFT(B242,7)</x:f>
        <x:v>2026-05</x:v>
      </x:c>
    </x:row>
    <x:row r="243">
      <x:c r="A243" s="5" t="str">
        <x:v>OP00242</x:v>
      </x:c>
      <x:c r="B243" s="5" t="str">
        <x:v>2026-05-03 04:00:00</x:v>
      </x:c>
      <x:c r="C243" s="5" t="str">
        <x:v>S002</x:v>
      </x:c>
      <x:c r="D243" s="5" t="str">
        <x:v>A004</x:v>
      </x:c>
      <x:c r="E243" s="5" t="str">
        <x:v>NIGHT</x:v>
      </x:c>
      <x:c r="F243" s="9" t="n">
        <x:v>85.73</x:v>
      </x:c>
      <x:c r="G243" s="9" t="n">
        <x:v>114475.44</x:v>
      </x:c>
      <x:c r="H243" s="9" t="n">
        <x:v>0.581</x:v>
      </x:c>
      <x:c r="I243" s="9" t="n">
        <x:v>98.59</x:v>
      </x:c>
      <x:c r="J243" s="9" t="n">
        <x:v>0.09</x:v>
      </x:c>
      <x:c r="K243" s="5" t="str">
        <x:v>NONE</x:v>
      </x:c>
      <x:c r="L243" s="10" t="n">
        <x:v>0</x:v>
      </x:c>
      <x:c r="M243" s="5" t="n">
        <x:v>0</x:v>
      </x:c>
      <x:c r="N243" s="5" t="str">
        <x:v>NORMAL</x:v>
      </x:c>
      <x:c r="O243" s="11" t="str">
        <x:f>LEFT(B243,7)</x:f>
        <x:v>2026-05</x:v>
      </x:c>
    </x:row>
    <x:row r="244">
      <x:c r="A244" s="5" t="str">
        <x:v>OP00243</x:v>
      </x:c>
      <x:c r="B244" s="5" t="str">
        <x:v>2026-05-05 08:00:00</x:v>
      </x:c>
      <x:c r="C244" s="5" t="str">
        <x:v>S003</x:v>
      </x:c>
      <x:c r="D244" s="5" t="str">
        <x:v>A007</x:v>
      </x:c>
      <x:c r="E244" s="5" t="str">
        <x:v>DAY</x:v>
      </x:c>
      <x:c r="F244" s="9" t="n">
        <x:v>548.12</x:v>
      </x:c>
      <x:c r="G244" s="9" t="n">
        <x:v>691088.67</x:v>
      </x:c>
      <x:c r="H244" s="9" t="n">
        <x:v>0.133</x:v>
      </x:c>
      <x:c r="I244" s="9" t="n">
        <x:v>97.26</x:v>
      </x:c>
      <x:c r="J244" s="9" t="n">
        <x:v>0.75</x:v>
      </x:c>
      <x:c r="K244" s="5" t="str">
        <x:v>INSPECTION</x:v>
      </x:c>
      <x:c r="L244" s="10" t="n">
        <x:v>2087.62</x:v>
      </x:c>
      <x:c r="M244" s="5" t="n">
        <x:v>0</x:v>
      </x:c>
      <x:c r="N244" s="5" t="str">
        <x:v>NORMAL</x:v>
      </x:c>
      <x:c r="O244" s="11" t="str">
        <x:f>LEFT(B244,7)</x:f>
        <x:v>2026-05</x:v>
      </x:c>
    </x:row>
    <x:row r="245">
      <x:c r="A245" s="5" t="str">
        <x:v>OP00244</x:v>
      </x:c>
      <x:c r="B245" s="5" t="str">
        <x:v>2026-05-07 12:00:00</x:v>
      </x:c>
      <x:c r="C245" s="5" t="str">
        <x:v>S004</x:v>
      </x:c>
      <x:c r="D245" s="5" t="str">
        <x:v>A010</x:v>
      </x:c>
      <x:c r="E245" s="5" t="str">
        <x:v>DAY</x:v>
      </x:c>
      <x:c r="F245" s="9" t="n">
        <x:v>275.73</x:v>
      </x:c>
      <x:c r="G245" s="9" t="n">
        <x:v>360377.19</x:v>
      </x:c>
      <x:c r="H245" s="9" t="n">
        <x:v>0.43</x:v>
      </x:c>
      <x:c r="I245" s="9" t="n">
        <x:v>96.99</x:v>
      </x:c>
      <x:c r="J245" s="9" t="n">
        <x:v>0.14</x:v>
      </x:c>
      <x:c r="K245" s="5" t="str">
        <x:v>NONE</x:v>
      </x:c>
      <x:c r="L245" s="10" t="n">
        <x:v>0</x:v>
      </x:c>
      <x:c r="M245" s="5" t="n">
        <x:v>0</x:v>
      </x:c>
      <x:c r="N245" s="5" t="str">
        <x:v>NORMAL</x:v>
      </x:c>
      <x:c r="O245" s="11" t="str">
        <x:f>LEFT(B245,7)</x:f>
        <x:v>2026-05</x:v>
      </x:c>
    </x:row>
    <x:row r="246">
      <x:c r="A246" s="5" t="str">
        <x:v>OP00245</x:v>
      </x:c>
      <x:c r="B246" s="5" t="str">
        <x:v>2026-05-09 16:00:00</x:v>
      </x:c>
      <x:c r="C246" s="5" t="str">
        <x:v>S001</x:v>
      </x:c>
      <x:c r="D246" s="5" t="str">
        <x:v>A002</x:v>
      </x:c>
      <x:c r="E246" s="5" t="str">
        <x:v>DAY</x:v>
      </x:c>
      <x:c r="F246" s="9" t="n">
        <x:v>415.13</x:v>
      </x:c>
      <x:c r="G246" s="9" t="n">
        <x:v>566881.95</x:v>
      </x:c>
      <x:c r="H246" s="9" t="n">
        <x:v>0.349</x:v>
      </x:c>
      <x:c r="I246" s="9" t="n">
        <x:v>96.59</x:v>
      </x:c>
      <x:c r="J246" s="9" t="n">
        <x:v>0.11</x:v>
      </x:c>
      <x:c r="K246" s="5" t="str">
        <x:v>NONE</x:v>
      </x:c>
      <x:c r="L246" s="10" t="n">
        <x:v>0</x:v>
      </x:c>
      <x:c r="M246" s="5" t="n">
        <x:v>0</x:v>
      </x:c>
      <x:c r="N246" s="5" t="str">
        <x:v>NORMAL</x:v>
      </x:c>
      <x:c r="O246" s="11" t="str">
        <x:f>LEFT(B246,7)</x:f>
        <x:v>2026-05</x:v>
      </x:c>
    </x:row>
    <x:row r="247">
      <x:c r="A247" s="5" t="str">
        <x:v>OP00246</x:v>
      </x:c>
      <x:c r="B247" s="5" t="str">
        <x:v>2026-05-11 20:00:00</x:v>
      </x:c>
      <x:c r="C247" s="5" t="str">
        <x:v>S002</x:v>
      </x:c>
      <x:c r="D247" s="5" t="str">
        <x:v>A005</x:v>
      </x:c>
      <x:c r="E247" s="5" t="str">
        <x:v>NIGHT</x:v>
      </x:c>
      <x:c r="F247" s="9" t="n">
        <x:v>86.18</x:v>
      </x:c>
      <x:c r="G247" s="9" t="n">
        <x:v>116059.03</x:v>
      </x:c>
      <x:c r="H247" s="9" t="n">
        <x:v>0.35</x:v>
      </x:c>
      <x:c r="I247" s="9" t="n">
        <x:v>98.24</x:v>
      </x:c>
      <x:c r="J247" s="9" t="n">
        <x:v>2.04</x:v>
      </x:c>
      <x:c r="K247" s="5" t="str">
        <x:v>PREVENTIVE</x:v>
      </x:c>
      <x:c r="L247" s="10" t="n">
        <x:v>7118.37</x:v>
      </x:c>
      <x:c r="M247" s="5" t="n">
        <x:v>0</x:v>
      </x:c>
      <x:c r="N247" s="5" t="str">
        <x:v>WATCH</x:v>
      </x:c>
      <x:c r="O247" s="11" t="str">
        <x:f>LEFT(B247,7)</x:f>
        <x:v>2026-05</x:v>
      </x:c>
    </x:row>
    <x:row r="248">
      <x:c r="A248" s="5" t="str">
        <x:v>OP00247</x:v>
      </x:c>
      <x:c r="B248" s="5" t="str">
        <x:v>2026-05-13 00:00:00</x:v>
      </x:c>
      <x:c r="C248" s="5" t="str">
        <x:v>S003</x:v>
      </x:c>
      <x:c r="D248" s="5" t="str">
        <x:v>A008</x:v>
      </x:c>
      <x:c r="E248" s="5" t="str">
        <x:v>NIGHT</x:v>
      </x:c>
      <x:c r="F248" s="9" t="n">
        <x:v>541.87</x:v>
      </x:c>
      <x:c r="G248" s="9" t="n">
        <x:v>687010.93</x:v>
      </x:c>
      <x:c r="H248" s="9" t="n">
        <x:v>0.612</x:v>
      </x:c>
      <x:c r="I248" s="9" t="n">
        <x:v>95.95</x:v>
      </x:c>
      <x:c r="J248" s="9" t="n">
        <x:v>0.15</x:v>
      </x:c>
      <x:c r="K248" s="5" t="str">
        <x:v>NONE</x:v>
      </x:c>
      <x:c r="L248" s="10" t="n">
        <x:v>0</x:v>
      </x:c>
      <x:c r="M248" s="5" t="n">
        <x:v>0</x:v>
      </x:c>
      <x:c r="N248" s="5" t="str">
        <x:v>NORMAL</x:v>
      </x:c>
      <x:c r="O248" s="11" t="str">
        <x:f>LEFT(B248,7)</x:f>
        <x:v>2026-05</x:v>
      </x:c>
    </x:row>
    <x:row r="249">
      <x:c r="A249" s="5" t="str">
        <x:v>OP00248</x:v>
      </x:c>
      <x:c r="B249" s="5" t="str">
        <x:v>2026-05-15 04:00:00</x:v>
      </x:c>
      <x:c r="C249" s="5" t="str">
        <x:v>S004</x:v>
      </x:c>
      <x:c r="D249" s="5" t="str">
        <x:v>A011</x:v>
      </x:c>
      <x:c r="E249" s="5" t="str">
        <x:v>NIGHT</x:v>
      </x:c>
      <x:c r="F249" s="9" t="n">
        <x:v>278.26</x:v>
      </x:c>
      <x:c r="G249" s="9" t="n">
        <x:v>368291.18</x:v>
      </x:c>
      <x:c r="H249" s="9" t="n">
        <x:v>0.227</x:v>
      </x:c>
      <x:c r="I249" s="9" t="n">
        <x:v>97.53</x:v>
      </x:c>
      <x:c r="J249" s="9" t="n">
        <x:v>0.19</x:v>
      </x:c>
      <x:c r="K249" s="5" t="str">
        <x:v>NONE</x:v>
      </x:c>
      <x:c r="L249" s="10" t="n">
        <x:v>0</x:v>
      </x:c>
      <x:c r="M249" s="5" t="n">
        <x:v>0</x:v>
      </x:c>
      <x:c r="N249" s="5" t="str">
        <x:v>NORMAL</x:v>
      </x:c>
      <x:c r="O249" s="11" t="str">
        <x:f>LEFT(B249,7)</x:f>
        <x:v>2026-05</x:v>
      </x:c>
    </x:row>
    <x:row r="250">
      <x:c r="A250" s="5" t="str">
        <x:v>OP00249</x:v>
      </x:c>
      <x:c r="B250" s="5" t="str">
        <x:v>2026-05-17 08:00:00</x:v>
      </x:c>
      <x:c r="C250" s="5" t="str">
        <x:v>S001</x:v>
      </x:c>
      <x:c r="D250" s="5" t="str">
        <x:v>A003</x:v>
      </x:c>
      <x:c r="E250" s="5" t="str">
        <x:v>DAY</x:v>
      </x:c>
      <x:c r="F250" s="9" t="n">
        <x:v>374.75</x:v>
      </x:c>
      <x:c r="G250" s="9" t="n">
        <x:v>512545.34</x:v>
      </x:c>
      <x:c r="H250" s="9" t="n">
        <x:v>0.5</x:v>
      </x:c>
      <x:c r="I250" s="9" t="n">
        <x:v>96.91</x:v>
      </x:c>
      <x:c r="J250" s="9" t="n">
        <x:v>0.02</x:v>
      </x:c>
      <x:c r="K250" s="5" t="str">
        <x:v>NONE</x:v>
      </x:c>
      <x:c r="L250" s="10" t="n">
        <x:v>0</x:v>
      </x:c>
      <x:c r="M250" s="5" t="n">
        <x:v>0</x:v>
      </x:c>
      <x:c r="N250" s="5" t="str">
        <x:v>NORMAL</x:v>
      </x:c>
      <x:c r="O250" s="11" t="str">
        <x:f>LEFT(B250,7)</x:f>
        <x:v>2026-05</x:v>
      </x:c>
    </x:row>
    <x:row r="251">
      <x:c r="A251" s="5" t="str">
        <x:v>OP00250</x:v>
      </x:c>
      <x:c r="B251" s="5" t="str">
        <x:v>2026-05-19 12:00:00</x:v>
      </x:c>
      <x:c r="C251" s="5" t="str">
        <x:v>S002</x:v>
      </x:c>
      <x:c r="D251" s="5" t="str">
        <x:v>A006</x:v>
      </x:c>
      <x:c r="E251" s="5" t="str">
        <x:v>DAY</x:v>
      </x:c>
      <x:c r="F251" s="9" t="n">
        <x:v>87.17</x:v>
      </x:c>
      <x:c r="G251" s="9" t="n">
        <x:v>113576.03</x:v>
      </x:c>
      <x:c r="H251" s="9" t="n">
        <x:v>0.689</x:v>
      </x:c>
      <x:c r="I251" s="9" t="n">
        <x:v>97.33</x:v>
      </x:c>
      <x:c r="J251" s="9" t="n">
        <x:v>0.14</x:v>
      </x:c>
      <x:c r="K251" s="5" t="str">
        <x:v>NONE</x:v>
      </x:c>
      <x:c r="L251" s="10" t="n">
        <x:v>0</x:v>
      </x:c>
      <x:c r="M251" s="5" t="n">
        <x:v>0</x:v>
      </x:c>
      <x:c r="N251" s="5" t="str">
        <x:v>NORMAL</x:v>
      </x:c>
      <x:c r="O251" s="11" t="str">
        <x:f>LEFT(B251,7)</x:f>
        <x:v>2026-05</x:v>
      </x:c>
    </x:row>
    <x:row r="252">
      <x:c r="A252" s="5" t="str">
        <x:v>OP00251</x:v>
      </x:c>
      <x:c r="B252" s="5" t="str">
        <x:v>2026-05-21 16:00:00</x:v>
      </x:c>
      <x:c r="C252" s="5" t="str">
        <x:v>S003</x:v>
      </x:c>
      <x:c r="D252" s="5" t="str">
        <x:v>A009</x:v>
      </x:c>
      <x:c r="E252" s="5" t="str">
        <x:v>DAY</x:v>
      </x:c>
      <x:c r="F252" s="9" t="n">
        <x:v>534.89</x:v>
      </x:c>
      <x:c r="G252" s="9" t="n">
        <x:v>672188.89</x:v>
      </x:c>
      <x:c r="H252" s="9" t="n">
        <x:v>0.366</x:v>
      </x:c>
      <x:c r="I252" s="9" t="n">
        <x:v>96.79</x:v>
      </x:c>
      <x:c r="J252" s="9" t="n">
        <x:v>0.2</x:v>
      </x:c>
      <x:c r="K252" s="5" t="str">
        <x:v>NONE</x:v>
      </x:c>
      <x:c r="L252" s="10" t="n">
        <x:v>0</x:v>
      </x:c>
      <x:c r="M252" s="5" t="n">
        <x:v>0</x:v>
      </x:c>
      <x:c r="N252" s="5" t="str">
        <x:v>NORMAL</x:v>
      </x:c>
      <x:c r="O252" s="11" t="str">
        <x:f>LEFT(B252,7)</x:f>
        <x:v>2026-05</x:v>
      </x:c>
    </x:row>
    <x:row r="253">
      <x:c r="A253" s="5" t="str">
        <x:v>OP00252</x:v>
      </x:c>
      <x:c r="B253" s="5" t="str">
        <x:v>2026-05-23 20:00:00</x:v>
      </x:c>
      <x:c r="C253" s="5" t="str">
        <x:v>S004</x:v>
      </x:c>
      <x:c r="D253" s="5" t="str">
        <x:v>A012</x:v>
      </x:c>
      <x:c r="E253" s="5" t="str">
        <x:v>NIGHT</x:v>
      </x:c>
      <x:c r="F253" s="9" t="n">
        <x:v>205.69</x:v>
      </x:c>
      <x:c r="G253" s="9" t="n">
        <x:v>267026.44</x:v>
      </x:c>
      <x:c r="H253" s="9" t="n">
        <x:v>0.131</x:v>
      </x:c>
      <x:c r="I253" s="9" t="n">
        <x:v>96.85</x:v>
      </x:c>
      <x:c r="J253" s="9" t="n">
        <x:v>0.12</x:v>
      </x:c>
      <x:c r="K253" s="5" t="str">
        <x:v>NONE</x:v>
      </x:c>
      <x:c r="L253" s="10" t="n">
        <x:v>0</x:v>
      </x:c>
      <x:c r="M253" s="5" t="n">
        <x:v>0</x:v>
      </x:c>
      <x:c r="N253" s="5" t="str">
        <x:v>NORMAL</x:v>
      </x:c>
      <x:c r="O253" s="11" t="str">
        <x:f>LEFT(B253,7)</x:f>
        <x:v>2026-05</x:v>
      </x:c>
    </x:row>
    <x:row r="254">
      <x:c r="A254" s="5" t="str">
        <x:v>OP00253</x:v>
      </x:c>
      <x:c r="B254" s="5" t="str">
        <x:v>2026-05-25 00:00:00</x:v>
      </x:c>
      <x:c r="C254" s="5" t="str">
        <x:v>S001</x:v>
      </x:c>
      <x:c r="D254" s="5" t="str">
        <x:v>A001</x:v>
      </x:c>
      <x:c r="E254" s="5" t="str">
        <x:v>NIGHT</x:v>
      </x:c>
      <x:c r="F254" s="9" t="n">
        <x:v>420.67</x:v>
      </x:c>
      <x:c r="G254" s="9" t="n">
        <x:v>567618.01</x:v>
      </x:c>
      <x:c r="H254" s="9" t="n">
        <x:v>0.513</x:v>
      </x:c>
      <x:c r="I254" s="9" t="n">
        <x:v>96.94</x:v>
      </x:c>
      <x:c r="J254" s="9" t="n">
        <x:v>1.82</x:v>
      </x:c>
      <x:c r="K254" s="5" t="str">
        <x:v>PREVENTIVE</x:v>
      </x:c>
      <x:c r="L254" s="10" t="n">
        <x:v>4330.89</x:v>
      </x:c>
      <x:c r="M254" s="5" t="n">
        <x:v>0</x:v>
      </x:c>
      <x:c r="N254" s="5" t="str">
        <x:v>NORMAL</x:v>
      </x:c>
      <x:c r="O254" s="11" t="str">
        <x:f>LEFT(B254,7)</x:f>
        <x:v>2026-05</x:v>
      </x:c>
    </x:row>
    <x:row r="255">
      <x:c r="A255" s="5" t="str">
        <x:v>OP00254</x:v>
      </x:c>
      <x:c r="B255" s="5" t="str">
        <x:v>2026-05-27 04:00:00</x:v>
      </x:c>
      <x:c r="C255" s="5" t="str">
        <x:v>S002</x:v>
      </x:c>
      <x:c r="D255" s="5" t="str">
        <x:v>A004</x:v>
      </x:c>
      <x:c r="E255" s="5" t="str">
        <x:v>NIGHT</x:v>
      </x:c>
      <x:c r="F255" s="9" t="n">
        <x:v>94.18</x:v>
      </x:c>
      <x:c r="G255" s="9" t="n">
        <x:v>131535.39</x:v>
      </x:c>
      <x:c r="H255" s="9" t="n">
        <x:v>0.535</x:v>
      </x:c>
      <x:c r="I255" s="9" t="n">
        <x:v>95.97</x:v>
      </x:c>
      <x:c r="J255" s="9" t="n">
        <x:v>0.49</x:v>
      </x:c>
      <x:c r="K255" s="5" t="str">
        <x:v>INSPECTION</x:v>
      </x:c>
      <x:c r="L255" s="10" t="n">
        <x:v>3464.37</x:v>
      </x:c>
      <x:c r="M255" s="5" t="n">
        <x:v>0</x:v>
      </x:c>
      <x:c r="N255" s="5" t="str">
        <x:v>NORMAL</x:v>
      </x:c>
      <x:c r="O255" s="11" t="str">
        <x:f>LEFT(B255,7)</x:f>
        <x:v>2026-05</x:v>
      </x:c>
    </x:row>
    <x:row r="256">
      <x:c r="A256" s="5" t="str">
        <x:v>OP00255</x:v>
      </x:c>
      <x:c r="B256" s="5" t="str">
        <x:v>2026-05-29 08:00:00</x:v>
      </x:c>
      <x:c r="C256" s="5" t="str">
        <x:v>S003</x:v>
      </x:c>
      <x:c r="D256" s="5" t="str">
        <x:v>A007</x:v>
      </x:c>
      <x:c r="E256" s="5" t="str">
        <x:v>DAY</x:v>
      </x:c>
      <x:c r="F256" s="9" t="n">
        <x:v>654.14</x:v>
      </x:c>
      <x:c r="G256" s="9" t="n">
        <x:v>897067.79</x:v>
      </x:c>
      <x:c r="H256" s="9" t="n">
        <x:v>0.519</x:v>
      </x:c>
      <x:c r="I256" s="9" t="n">
        <x:v>95.98</x:v>
      </x:c>
      <x:c r="J256" s="9" t="n">
        <x:v>0.07</x:v>
      </x:c>
      <x:c r="K256" s="5" t="str">
        <x:v>NONE</x:v>
      </x:c>
      <x:c r="L256" s="10" t="n">
        <x:v>0</x:v>
      </x:c>
      <x:c r="M256" s="5" t="n">
        <x:v>0</x:v>
      </x:c>
      <x:c r="N256" s="5" t="str">
        <x:v>NORMAL</x:v>
      </x:c>
      <x:c r="O256" s="11" t="str">
        <x:f>LEFT(B256,7)</x:f>
        <x:v>2026-05</x:v>
      </x:c>
    </x:row>
    <x:row r="257">
      <x:c r="A257" s="5" t="str">
        <x:v>OP00256</x:v>
      </x:c>
      <x:c r="B257" s="5" t="str">
        <x:v>2026-05-31 12:00:00</x:v>
      </x:c>
      <x:c r="C257" s="5" t="str">
        <x:v>S004</x:v>
      </x:c>
      <x:c r="D257" s="5" t="str">
        <x:v>A010</x:v>
      </x:c>
      <x:c r="E257" s="5" t="str">
        <x:v>DAY</x:v>
      </x:c>
      <x:c r="F257" s="9" t="n">
        <x:v>244.81</x:v>
      </x:c>
      <x:c r="G257" s="9" t="n">
        <x:v>338412.8</x:v>
      </x:c>
      <x:c r="H257" s="9" t="n">
        <x:v>0.409</x:v>
      </x:c>
      <x:c r="I257" s="9" t="n">
        <x:v>95.93</x:v>
      </x:c>
      <x:c r="J257" s="9" t="n">
        <x:v>0.07</x:v>
      </x:c>
      <x:c r="K257" s="5" t="str">
        <x:v>NONE</x:v>
      </x:c>
      <x:c r="L257" s="10" t="n">
        <x:v>0</x:v>
      </x:c>
      <x:c r="M257" s="5" t="n">
        <x:v>0</x:v>
      </x:c>
      <x:c r="N257" s="5" t="str">
        <x:v>NORMAL</x:v>
      </x:c>
      <x:c r="O257" s="11" t="str">
        <x:f>LEFT(B257,7)</x:f>
        <x:v>2026-05</x:v>
      </x:c>
    </x:row>
    <x:row r="258">
      <x:c r="A258" s="5" t="str">
        <x:v>OP00257</x:v>
      </x:c>
      <x:c r="B258" s="5" t="str">
        <x:v>2026-06-02 16:00:00</x:v>
      </x:c>
      <x:c r="C258" s="5" t="str">
        <x:v>S001</x:v>
      </x:c>
      <x:c r="D258" s="5" t="str">
        <x:v>A002</x:v>
      </x:c>
      <x:c r="E258" s="5" t="str">
        <x:v>DAY</x:v>
      </x:c>
      <x:c r="F258" s="9" t="n">
        <x:v>384.3</x:v>
      </x:c>
      <x:c r="G258" s="9" t="n">
        <x:v>525069.35</x:v>
      </x:c>
      <x:c r="H258" s="9" t="n">
        <x:v>0.654</x:v>
      </x:c>
      <x:c r="I258" s="9" t="n">
        <x:v>97.53</x:v>
      </x:c>
      <x:c r="J258" s="9" t="n">
        <x:v>0.05</x:v>
      </x:c>
      <x:c r="K258" s="5" t="str">
        <x:v>NONE</x:v>
      </x:c>
      <x:c r="L258" s="10" t="n">
        <x:v>0</x:v>
      </x:c>
      <x:c r="M258" s="5" t="n">
        <x:v>0</x:v>
      </x:c>
      <x:c r="N258" s="5" t="str">
        <x:v>NORMAL</x:v>
      </x:c>
      <x:c r="O258" s="11" t="str">
        <x:f>LEFT(B258,7)</x:f>
        <x:v>2026-06</x:v>
      </x:c>
    </x:row>
    <x:row r="259">
      <x:c r="A259" s="5" t="str">
        <x:v>OP00258</x:v>
      </x:c>
      <x:c r="B259" s="5" t="str">
        <x:v>2026-06-04 20:00:00</x:v>
      </x:c>
      <x:c r="C259" s="5" t="str">
        <x:v>S002</x:v>
      </x:c>
      <x:c r="D259" s="5" t="str">
        <x:v>A005</x:v>
      </x:c>
      <x:c r="E259" s="5" t="str">
        <x:v>NIGHT</x:v>
      </x:c>
      <x:c r="F259" s="9" t="n">
        <x:v>85.44</x:v>
      </x:c>
      <x:c r="G259" s="9" t="n">
        <x:v>117880.85</x:v>
      </x:c>
      <x:c r="H259" s="9" t="n">
        <x:v>0.341</x:v>
      </x:c>
      <x:c r="I259" s="9" t="n">
        <x:v>95.67</x:v>
      </x:c>
      <x:c r="J259" s="9" t="n">
        <x:v>0.03</x:v>
      </x:c>
      <x:c r="K259" s="5" t="str">
        <x:v>NONE</x:v>
      </x:c>
      <x:c r="L259" s="10" t="n">
        <x:v>0</x:v>
      </x:c>
      <x:c r="M259" s="5" t="n">
        <x:v>0</x:v>
      </x:c>
      <x:c r="N259" s="5" t="str">
        <x:v>NORMAL</x:v>
      </x:c>
      <x:c r="O259" s="11" t="str">
        <x:f>LEFT(B259,7)</x:f>
        <x:v>2026-06</x:v>
      </x:c>
    </x:row>
    <x:row r="260">
      <x:c r="A260" s="5" t="str">
        <x:v>OP00259</x:v>
      </x:c>
      <x:c r="B260" s="5" t="str">
        <x:v>2026-06-06 00:00:00</x:v>
      </x:c>
      <x:c r="C260" s="5" t="str">
        <x:v>S003</x:v>
      </x:c>
      <x:c r="D260" s="5" t="str">
        <x:v>A008</x:v>
      </x:c>
      <x:c r="E260" s="5" t="str">
        <x:v>NIGHT</x:v>
      </x:c>
      <x:c r="F260" s="9" t="n">
        <x:v>661.74</x:v>
      </x:c>
      <x:c r="G260" s="9" t="n">
        <x:v>855001.2</x:v>
      </x:c>
      <x:c r="H260" s="9" t="n">
        <x:v>0.631</x:v>
      </x:c>
      <x:c r="I260" s="9" t="n">
        <x:v>97.77</x:v>
      </x:c>
      <x:c r="J260" s="9" t="n">
        <x:v>0.05</x:v>
      </x:c>
      <x:c r="K260" s="5" t="str">
        <x:v>NONE</x:v>
      </x:c>
      <x:c r="L260" s="10" t="n">
        <x:v>0</x:v>
      </x:c>
      <x:c r="M260" s="5" t="n">
        <x:v>0</x:v>
      </x:c>
      <x:c r="N260" s="5" t="str">
        <x:v>NORMAL</x:v>
      </x:c>
      <x:c r="O260" s="11" t="str">
        <x:f>LEFT(B260,7)</x:f>
        <x:v>2026-06</x:v>
      </x:c>
    </x:row>
    <x:row r="261">
      <x:c r="A261" s="5" t="str">
        <x:v>OP00260</x:v>
      </x:c>
      <x:c r="B261" s="5" t="str">
        <x:v>2026-06-08 04:00:00</x:v>
      </x:c>
      <x:c r="C261" s="5" t="str">
        <x:v>S004</x:v>
      </x:c>
      <x:c r="D261" s="5" t="str">
        <x:v>A011</x:v>
      </x:c>
      <x:c r="E261" s="5" t="str">
        <x:v>NIGHT</x:v>
      </x:c>
      <x:c r="F261" s="9" t="n">
        <x:v>239.84</x:v>
      </x:c>
      <x:c r="G261" s="9" t="n">
        <x:v>321690.61</x:v>
      </x:c>
      <x:c r="H261" s="9" t="n">
        <x:v>0.28</x:v>
      </x:c>
      <x:c r="I261" s="9" t="n">
        <x:v>97.23</x:v>
      </x:c>
      <x:c r="J261" s="9" t="n">
        <x:v>2.01</x:v>
      </x:c>
      <x:c r="K261" s="5" t="str">
        <x:v>PREVENTIVE</x:v>
      </x:c>
      <x:c r="L261" s="10" t="n">
        <x:v>6197.14</x:v>
      </x:c>
      <x:c r="M261" s="5" t="n">
        <x:v>0</x:v>
      </x:c>
      <x:c r="N261" s="5" t="str">
        <x:v>WATCH</x:v>
      </x:c>
      <x:c r="O261" s="11" t="str">
        <x:f>LEFT(B261,7)</x:f>
        <x:v>2026-06</x:v>
      </x:c>
    </x:row>
    <x:row r="262">
      <x:c r="A262" s="5" t="str">
        <x:v>OP00261</x:v>
      </x:c>
      <x:c r="B262" s="5" t="str">
        <x:v>2026-06-10 08:00:00</x:v>
      </x:c>
      <x:c r="C262" s="5" t="str">
        <x:v>S001</x:v>
      </x:c>
      <x:c r="D262" s="5" t="str">
        <x:v>A003</x:v>
      </x:c>
      <x:c r="E262" s="5" t="str">
        <x:v>DAY</x:v>
      </x:c>
      <x:c r="F262" s="9" t="n">
        <x:v>349.7</x:v>
      </x:c>
      <x:c r="G262" s="9" t="n">
        <x:v>443258.88</x:v>
      </x:c>
      <x:c r="H262" s="9" t="n">
        <x:v>0.383</x:v>
      </x:c>
      <x:c r="I262" s="9" t="n">
        <x:v>96.59</x:v>
      </x:c>
      <x:c r="J262" s="9" t="n">
        <x:v>0.16</x:v>
      </x:c>
      <x:c r="K262" s="5" t="str">
        <x:v>NONE</x:v>
      </x:c>
      <x:c r="L262" s="10" t="n">
        <x:v>0</x:v>
      </x:c>
      <x:c r="M262" s="5" t="n">
        <x:v>0</x:v>
      </x:c>
      <x:c r="N262" s="5" t="str">
        <x:v>NORMAL</x:v>
      </x:c>
      <x:c r="O262" s="11" t="str">
        <x:f>LEFT(B262,7)</x:f>
        <x:v>2026-06</x:v>
      </x:c>
    </x:row>
    <x:row r="263">
      <x:c r="A263" s="5" t="str">
        <x:v>OP00262</x:v>
      </x:c>
      <x:c r="B263" s="5" t="str">
        <x:v>2026-06-12 12:00:00</x:v>
      </x:c>
      <x:c r="C263" s="5" t="str">
        <x:v>S002</x:v>
      </x:c>
      <x:c r="D263" s="5" t="str">
        <x:v>A006</x:v>
      </x:c>
      <x:c r="E263" s="5" t="str">
        <x:v>DAY</x:v>
      </x:c>
      <x:c r="F263" s="9" t="n">
        <x:v>108.17</x:v>
      </x:c>
      <x:c r="G263" s="9" t="n">
        <x:v>149102.27</x:v>
      </x:c>
      <x:c r="H263" s="9" t="n">
        <x:v>0.208</x:v>
      </x:c>
      <x:c r="I263" s="9" t="n">
        <x:v>95.75</x:v>
      </x:c>
      <x:c r="J263" s="9" t="n">
        <x:v>6.52</x:v>
      </x:c>
      <x:c r="K263" s="5" t="str">
        <x:v>CORRECTIVE</x:v>
      </x:c>
      <x:c r="L263" s="10" t="n">
        <x:v>38341.2</x:v>
      </x:c>
      <x:c r="M263" s="5" t="n">
        <x:v>0</x:v>
      </x:c>
      <x:c r="N263" s="5" t="str">
        <x:v>WATCH</x:v>
      </x:c>
      <x:c r="O263" s="11" t="str">
        <x:f>LEFT(B263,7)</x:f>
        <x:v>2026-06</x:v>
      </x:c>
    </x:row>
    <x:row r="264">
      <x:c r="A264" s="5" t="str">
        <x:v>OP00263</x:v>
      </x:c>
      <x:c r="B264" s="5" t="str">
        <x:v>2026-06-14 16:00:00</x:v>
      </x:c>
      <x:c r="C264" s="5" t="str">
        <x:v>S003</x:v>
      </x:c>
      <x:c r="D264" s="5" t="str">
        <x:v>A009</x:v>
      </x:c>
      <x:c r="E264" s="5" t="str">
        <x:v>DAY</x:v>
      </x:c>
      <x:c r="F264" s="9" t="n">
        <x:v>657.95</x:v>
      </x:c>
      <x:c r="G264" s="9" t="n">
        <x:v>893978.31</x:v>
      </x:c>
      <x:c r="H264" s="9" t="n">
        <x:v>0.241</x:v>
      </x:c>
      <x:c r="I264" s="9" t="n">
        <x:v>96.73</x:v>
      </x:c>
      <x:c r="J264" s="9" t="n">
        <x:v>0.25</x:v>
      </x:c>
      <x:c r="K264" s="5" t="str">
        <x:v>NONE</x:v>
      </x:c>
      <x:c r="L264" s="10" t="n">
        <x:v>0</x:v>
      </x:c>
      <x:c r="M264" s="5" t="n">
        <x:v>0</x:v>
      </x:c>
      <x:c r="N264" s="5" t="str">
        <x:v>NORMAL</x:v>
      </x:c>
      <x:c r="O264" s="11" t="str">
        <x:f>LEFT(B264,7)</x:f>
        <x:v>2026-06</x:v>
      </x:c>
    </x:row>
    <x:row r="265">
      <x:c r="A265" s="5" t="str">
        <x:v>OP00264</x:v>
      </x:c>
      <x:c r="B265" s="5" t="str">
        <x:v>2026-06-16 20:00:00</x:v>
      </x:c>
      <x:c r="C265" s="5" t="str">
        <x:v>S004</x:v>
      </x:c>
      <x:c r="D265" s="5" t="str">
        <x:v>A012</x:v>
      </x:c>
      <x:c r="E265" s="5" t="str">
        <x:v>NIGHT</x:v>
      </x:c>
      <x:c r="F265" s="9" t="n">
        <x:v>268.88</x:v>
      </x:c>
      <x:c r="G265" s="9" t="n">
        <x:v>343210.62</x:v>
      </x:c>
      <x:c r="H265" s="9" t="n">
        <x:v>0.21</x:v>
      </x:c>
      <x:c r="I265" s="9" t="n">
        <x:v>95.9</x:v>
      </x:c>
      <x:c r="J265" s="9" t="n">
        <x:v>0.17</x:v>
      </x:c>
      <x:c r="K265" s="5" t="str">
        <x:v>NONE</x:v>
      </x:c>
      <x:c r="L265" s="10" t="n">
        <x:v>0</x:v>
      </x:c>
      <x:c r="M265" s="5" t="n">
        <x:v>0</x:v>
      </x:c>
      <x:c r="N265" s="5" t="str">
        <x:v>NORMAL</x:v>
      </x:c>
      <x:c r="O265" s="11" t="str">
        <x:f>LEFT(B265,7)</x:f>
        <x:v>2026-06</x:v>
      </x:c>
    </x:row>
    <x:row r="266">
      <x:c r="A266" s="5" t="str">
        <x:v>OP00265</x:v>
      </x:c>
      <x:c r="B266" s="5" t="str">
        <x:v>2026-06-18 00:00:00</x:v>
      </x:c>
      <x:c r="C266" s="5" t="str">
        <x:v>S001</x:v>
      </x:c>
      <x:c r="D266" s="5" t="str">
        <x:v>A001</x:v>
      </x:c>
      <x:c r="E266" s="5" t="str">
        <x:v>NIGHT</x:v>
      </x:c>
      <x:c r="F266" s="9" t="n">
        <x:v>393.67</x:v>
      </x:c>
      <x:c r="G266" s="9" t="n">
        <x:v>548191.02</x:v>
      </x:c>
      <x:c r="H266" s="9" t="n">
        <x:v>0.549</x:v>
      </x:c>
      <x:c r="I266" s="9" t="n">
        <x:v>96.37</x:v>
      </x:c>
      <x:c r="J266" s="9" t="n">
        <x:v>0.24</x:v>
      </x:c>
      <x:c r="K266" s="5" t="str">
        <x:v>INSPECTION</x:v>
      </x:c>
      <x:c r="L266" s="10" t="n">
        <x:v>4561.76</x:v>
      </x:c>
      <x:c r="M266" s="5" t="n">
        <x:v>0</x:v>
      </x:c>
      <x:c r="N266" s="5" t="str">
        <x:v>NORMAL</x:v>
      </x:c>
      <x:c r="O266" s="11" t="str">
        <x:f>LEFT(B266,7)</x:f>
        <x:v>2026-06</x:v>
      </x:c>
    </x:row>
    <x:row r="267">
      <x:c r="A267" s="5" t="str">
        <x:v>OP00266</x:v>
      </x:c>
      <x:c r="B267" s="5" t="str">
        <x:v>2026-06-20 04:00:00</x:v>
      </x:c>
      <x:c r="C267" s="5" t="str">
        <x:v>S002</x:v>
      </x:c>
      <x:c r="D267" s="5" t="str">
        <x:v>A004</x:v>
      </x:c>
      <x:c r="E267" s="5" t="str">
        <x:v>NIGHT</x:v>
      </x:c>
      <x:c r="F267" s="9" t="n">
        <x:v>101.87</x:v>
      </x:c>
      <x:c r="G267" s="9" t="n">
        <x:v>140256.58</x:v>
      </x:c>
      <x:c r="H267" s="9" t="n">
        <x:v>0.187</x:v>
      </x:c>
      <x:c r="I267" s="9" t="n">
        <x:v>95.75</x:v>
      </x:c>
      <x:c r="J267" s="9" t="n">
        <x:v>0.21</x:v>
      </x:c>
      <x:c r="K267" s="5" t="str">
        <x:v>NONE</x:v>
      </x:c>
      <x:c r="L267" s="10" t="n">
        <x:v>0</x:v>
      </x:c>
      <x:c r="M267" s="5" t="n">
        <x:v>0</x:v>
      </x:c>
      <x:c r="N267" s="5" t="str">
        <x:v>NORMAL</x:v>
      </x:c>
      <x:c r="O267" s="11" t="str">
        <x:f>LEFT(B267,7)</x:f>
        <x:v>2026-06</x:v>
      </x:c>
    </x:row>
    <x:row r="268">
      <x:c r="A268" s="5" t="str">
        <x:v>OP00267</x:v>
      </x:c>
      <x:c r="B268" s="5" t="str">
        <x:v>2026-06-22 08:00:00</x:v>
      </x:c>
      <x:c r="C268" s="5" t="str">
        <x:v>S003</x:v>
      </x:c>
      <x:c r="D268" s="5" t="str">
        <x:v>A007</x:v>
      </x:c>
      <x:c r="E268" s="5" t="str">
        <x:v>DAY</x:v>
      </x:c>
      <x:c r="F268" s="9" t="n">
        <x:v>503.42</x:v>
      </x:c>
      <x:c r="G268" s="9" t="n">
        <x:v>663323.18</x:v>
      </x:c>
      <x:c r="H268" s="9" t="n">
        <x:v>0.536</x:v>
      </x:c>
      <x:c r="I268" s="9" t="n">
        <x:v>96.34</x:v>
      </x:c>
      <x:c r="J268" s="9" t="n">
        <x:v>1.94</x:v>
      </x:c>
      <x:c r="K268" s="5" t="str">
        <x:v>PREVENTIVE</x:v>
      </x:c>
      <x:c r="L268" s="10" t="n">
        <x:v>9959.83</x:v>
      </x:c>
      <x:c r="M268" s="5" t="n">
        <x:v>0</x:v>
      </x:c>
      <x:c r="N268" s="5" t="str">
        <x:v>NORMAL</x:v>
      </x:c>
      <x:c r="O268" s="11" t="str">
        <x:f>LEFT(B268,7)</x:f>
        <x:v>2026-06</x:v>
      </x:c>
    </x:row>
    <x:row r="269">
      <x:c r="A269" s="5" t="str">
        <x:v>OP00268</x:v>
      </x:c>
      <x:c r="B269" s="5" t="str">
        <x:v>2026-06-24 12:00:00</x:v>
      </x:c>
      <x:c r="C269" s="5" t="str">
        <x:v>S004</x:v>
      </x:c>
      <x:c r="D269" s="5" t="str">
        <x:v>A010</x:v>
      </x:c>
      <x:c r="E269" s="5" t="str">
        <x:v>DAY</x:v>
      </x:c>
      <x:c r="F269" s="9" t="n">
        <x:v>259.18</x:v>
      </x:c>
      <x:c r="G269" s="9" t="n">
        <x:v>341532.73</x:v>
      </x:c>
      <x:c r="H269" s="9" t="n">
        <x:v>0.501</x:v>
      </x:c>
      <x:c r="I269" s="9" t="n">
        <x:v>98.17</x:v>
      </x:c>
      <x:c r="J269" s="9" t="n">
        <x:v>0.15</x:v>
      </x:c>
      <x:c r="K269" s="5" t="str">
        <x:v>NONE</x:v>
      </x:c>
      <x:c r="L269" s="10" t="n">
        <x:v>0</x:v>
      </x:c>
      <x:c r="M269" s="5" t="n">
        <x:v>0</x:v>
      </x:c>
      <x:c r="N269" s="5" t="str">
        <x:v>NORMAL</x:v>
      </x:c>
      <x:c r="O269" s="11" t="str">
        <x:f>LEFT(B269,7)</x:f>
        <x:v>2026-06</x:v>
      </x:c>
    </x:row>
    <x:row r="270">
      <x:c r="A270" s="5" t="str">
        <x:v>OP00269</x:v>
      </x:c>
      <x:c r="B270" s="5" t="str">
        <x:v>2026-06-26 16:00:00</x:v>
      </x:c>
      <x:c r="C270" s="5" t="str">
        <x:v>S001</x:v>
      </x:c>
      <x:c r="D270" s="5" t="str">
        <x:v>A002</x:v>
      </x:c>
      <x:c r="E270" s="5" t="str">
        <x:v>DAY</x:v>
      </x:c>
      <x:c r="F270" s="9" t="n">
        <x:v>381.19</x:v>
      </x:c>
      <x:c r="G270" s="9" t="n">
        <x:v>522456.46</x:v>
      </x:c>
      <x:c r="H270" s="9" t="n">
        <x:v>0.136</x:v>
      </x:c>
      <x:c r="I270" s="9" t="n">
        <x:v>96.76</x:v>
      </x:c>
      <x:c r="J270" s="9" t="n">
        <x:v>0.02</x:v>
      </x:c>
      <x:c r="K270" s="5" t="str">
        <x:v>NONE</x:v>
      </x:c>
      <x:c r="L270" s="10" t="n">
        <x:v>0</x:v>
      </x:c>
      <x:c r="M270" s="5" t="n">
        <x:v>0</x:v>
      </x:c>
      <x:c r="N270" s="5" t="str">
        <x:v>NORMAL</x:v>
      </x:c>
      <x:c r="O270" s="11" t="str">
        <x:f>LEFT(B270,7)</x:f>
        <x:v>2026-06</x:v>
      </x:c>
    </x:row>
    <x:row r="271">
      <x:c r="A271" s="5" t="str">
        <x:v>OP00270</x:v>
      </x:c>
      <x:c r="B271" s="5" t="str">
        <x:v>2026-06-28 20:00:00</x:v>
      </x:c>
      <x:c r="C271" s="5" t="str">
        <x:v>S002</x:v>
      </x:c>
      <x:c r="D271" s="5" t="str">
        <x:v>A005</x:v>
      </x:c>
      <x:c r="E271" s="5" t="str">
        <x:v>NIGHT</x:v>
      </x:c>
      <x:c r="F271" s="9" t="n">
        <x:v>112.26</x:v>
      </x:c>
      <x:c r="G271" s="9" t="n">
        <x:v>149862.88</x:v>
      </x:c>
      <x:c r="H271" s="9" t="n">
        <x:v>0.151</x:v>
      </x:c>
      <x:c r="I271" s="9" t="n">
        <x:v>97.49</x:v>
      </x:c>
      <x:c r="J271" s="9" t="n">
        <x:v>0.06</x:v>
      </x:c>
      <x:c r="K271" s="5" t="str">
        <x:v>NONE</x:v>
      </x:c>
      <x:c r="L271" s="10" t="n">
        <x:v>0</x:v>
      </x:c>
      <x:c r="M271" s="5" t="n">
        <x:v>0</x:v>
      </x:c>
      <x:c r="N271" s="5" t="str">
        <x:v>NORMAL</x:v>
      </x:c>
      <x:c r="O271" s="11" t="str">
        <x:f>LEFT(B271,7)</x:f>
        <x:v>2026-06</x:v>
      </x:c>
    </x:row>
    <x:row r="272">
      <x:c r="A272" s="5" t="str">
        <x:v>OP00271</x:v>
      </x:c>
      <x:c r="B272" s="5" t="str">
        <x:v>2026-01-01 00:00:00</x:v>
      </x:c>
      <x:c r="C272" s="5" t="str">
        <x:v>S003</x:v>
      </x:c>
      <x:c r="D272" s="5" t="str">
        <x:v>A008</x:v>
      </x:c>
      <x:c r="E272" s="5" t="str">
        <x:v>NIGHT</x:v>
      </x:c>
      <x:c r="F272" s="9" t="n">
        <x:v>498.67</x:v>
      </x:c>
      <x:c r="G272" s="9" t="n">
        <x:v>694037.8</x:v>
      </x:c>
      <x:c r="H272" s="9" t="n">
        <x:v>0.173</x:v>
      </x:c>
      <x:c r="I272" s="9" t="n">
        <x:v>97.07</x:v>
      </x:c>
      <x:c r="J272" s="9" t="n">
        <x:v>0.12</x:v>
      </x:c>
      <x:c r="K272" s="5" t="str">
        <x:v>NONE</x:v>
      </x:c>
      <x:c r="L272" s="10" t="n">
        <x:v>0</x:v>
      </x:c>
      <x:c r="M272" s="5" t="n">
        <x:v>0</x:v>
      </x:c>
      <x:c r="N272" s="5" t="str">
        <x:v>NORMAL</x:v>
      </x:c>
      <x:c r="O272" s="11" t="str">
        <x:f>LEFT(B272,7)</x:f>
        <x:v>2026-01</x:v>
      </x:c>
    </x:row>
    <x:row r="273">
      <x:c r="A273" s="5" t="str">
        <x:v>OP00272</x:v>
      </x:c>
      <x:c r="B273" s="5" t="str">
        <x:v>2026-01-03 04:00:00</x:v>
      </x:c>
      <x:c r="C273" s="5" t="str">
        <x:v>S004</x:v>
      </x:c>
      <x:c r="D273" s="5" t="str">
        <x:v>A011</x:v>
      </x:c>
      <x:c r="E273" s="5" t="str">
        <x:v>NIGHT</x:v>
      </x:c>
      <x:c r="F273" s="9" t="n">
        <x:v>207.84</x:v>
      </x:c>
      <x:c r="G273" s="9" t="n">
        <x:v>267724.06</x:v>
      </x:c>
      <x:c r="H273" s="9" t="n">
        <x:v>0.515</x:v>
      </x:c>
      <x:c r="I273" s="9" t="n">
        <x:v>96.81</x:v>
      </x:c>
      <x:c r="J273" s="9" t="n">
        <x:v>0.06</x:v>
      </x:c>
      <x:c r="K273" s="5" t="str">
        <x:v>NONE</x:v>
      </x:c>
      <x:c r="L273" s="10" t="n">
        <x:v>0</x:v>
      </x:c>
      <x:c r="M273" s="5" t="n">
        <x:v>0</x:v>
      </x:c>
      <x:c r="N273" s="5" t="str">
        <x:v>NORMAL</x:v>
      </x:c>
      <x:c r="O273" s="11" t="str">
        <x:f>LEFT(B273,7)</x:f>
        <x:v>2026-01</x:v>
      </x:c>
    </x:row>
    <x:row r="274">
      <x:c r="A274" s="5" t="str">
        <x:v>OP00273</x:v>
      </x:c>
      <x:c r="B274" s="5" t="str">
        <x:v>2026-01-05 08:00:00</x:v>
      </x:c>
      <x:c r="C274" s="5" t="str">
        <x:v>S001</x:v>
      </x:c>
      <x:c r="D274" s="5" t="str">
        <x:v>A003</x:v>
      </x:c>
      <x:c r="E274" s="5" t="str">
        <x:v>DAY</x:v>
      </x:c>
      <x:c r="F274" s="9" t="n">
        <x:v>353</x:v>
      </x:c>
      <x:c r="G274" s="9" t="n">
        <x:v>493982.61</x:v>
      </x:c>
      <x:c r="H274" s="9" t="n">
        <x:v>0.213</x:v>
      </x:c>
      <x:c r="I274" s="9" t="n">
        <x:v>96.87</x:v>
      </x:c>
      <x:c r="J274" s="9" t="n">
        <x:v>0.01</x:v>
      </x:c>
      <x:c r="K274" s="5" t="str">
        <x:v>NONE</x:v>
      </x:c>
      <x:c r="L274" s="10" t="n">
        <x:v>0</x:v>
      </x:c>
      <x:c r="M274" s="5" t="n">
        <x:v>0</x:v>
      </x:c>
      <x:c r="N274" s="5" t="str">
        <x:v>NORMAL</x:v>
      </x:c>
      <x:c r="O274" s="11" t="str">
        <x:f>LEFT(B274,7)</x:f>
        <x:v>2026-01</x:v>
      </x:c>
    </x:row>
    <x:row r="275">
      <x:c r="A275" s="5" t="str">
        <x:v>OP00274</x:v>
      </x:c>
      <x:c r="B275" s="5" t="str">
        <x:v>2026-01-07 12:00:00</x:v>
      </x:c>
      <x:c r="C275" s="5" t="str">
        <x:v>S002</x:v>
      </x:c>
      <x:c r="D275" s="5" t="str">
        <x:v>A006</x:v>
      </x:c>
      <x:c r="E275" s="5" t="str">
        <x:v>DAY</x:v>
      </x:c>
      <x:c r="F275" s="9" t="n">
        <x:v>101.76</x:v>
      </x:c>
      <x:c r="G275" s="9" t="n">
        <x:v>130810.8</x:v>
      </x:c>
      <x:c r="H275" s="9" t="n">
        <x:v>0.453</x:v>
      </x:c>
      <x:c r="I275" s="9" t="n">
        <x:v>98.43</x:v>
      </x:c>
      <x:c r="J275" s="9" t="n">
        <x:v>1.63</x:v>
      </x:c>
      <x:c r="K275" s="5" t="str">
        <x:v>PREVENTIVE</x:v>
      </x:c>
      <x:c r="L275" s="10" t="n">
        <x:v>4073.73</x:v>
      </x:c>
      <x:c r="M275" s="5" t="n">
        <x:v>0</x:v>
      </x:c>
      <x:c r="N275" s="5" t="str">
        <x:v>NORMAL</x:v>
      </x:c>
      <x:c r="O275" s="11" t="str">
        <x:f>LEFT(B275,7)</x:f>
        <x:v>2026-01</x:v>
      </x:c>
    </x:row>
    <x:row r="276">
      <x:c r="A276" s="5" t="str">
        <x:v>OP00275</x:v>
      </x:c>
      <x:c r="B276" s="5" t="str">
        <x:v>2026-01-09 16:00:00</x:v>
      </x:c>
      <x:c r="C276" s="5" t="str">
        <x:v>S003</x:v>
      </x:c>
      <x:c r="D276" s="5" t="str">
        <x:v>A009</x:v>
      </x:c>
      <x:c r="E276" s="5" t="str">
        <x:v>DAY</x:v>
      </x:c>
      <x:c r="F276" s="9" t="n">
        <x:v>547.94</x:v>
      </x:c>
      <x:c r="G276" s="9" t="n">
        <x:v>747918.79</x:v>
      </x:c>
      <x:c r="H276" s="9" t="n">
        <x:v>0.241</x:v>
      </x:c>
      <x:c r="I276" s="9" t="n">
        <x:v>98.02</x:v>
      </x:c>
      <x:c r="J276" s="9" t="n">
        <x:v>0.02</x:v>
      </x:c>
      <x:c r="K276" s="5" t="str">
        <x:v>NONE</x:v>
      </x:c>
      <x:c r="L276" s="10" t="n">
        <x:v>0</x:v>
      </x:c>
      <x:c r="M276" s="5" t="n">
        <x:v>0</x:v>
      </x:c>
      <x:c r="N276" s="5" t="str">
        <x:v>NORMAL</x:v>
      </x:c>
      <x:c r="O276" s="11" t="str">
        <x:f>LEFT(B276,7)</x:f>
        <x:v>2026-01</x:v>
      </x:c>
    </x:row>
    <x:row r="277">
      <x:c r="A277" s="5" t="str">
        <x:v>OP00276</x:v>
      </x:c>
      <x:c r="B277" s="5" t="str">
        <x:v>2026-01-11 20:00:00</x:v>
      </x:c>
      <x:c r="C277" s="5" t="str">
        <x:v>S004</x:v>
      </x:c>
      <x:c r="D277" s="5" t="str">
        <x:v>A012</x:v>
      </x:c>
      <x:c r="E277" s="5" t="str">
        <x:v>NIGHT</x:v>
      </x:c>
      <x:c r="F277" s="9" t="n">
        <x:v>271.75</x:v>
      </x:c>
      <x:c r="G277" s="9" t="n">
        <x:v>354855.02</x:v>
      </x:c>
      <x:c r="H277" s="9" t="n">
        <x:v>0.656</x:v>
      </x:c>
      <x:c r="I277" s="9" t="n">
        <x:v>98.64</x:v>
      </x:c>
      <x:c r="J277" s="9" t="n">
        <x:v>0.96</x:v>
      </x:c>
      <x:c r="K277" s="5" t="str">
        <x:v>INSPECTION</x:v>
      </x:c>
      <x:c r="L277" s="10" t="n">
        <x:v>2431.57</x:v>
      </x:c>
      <x:c r="M277" s="5" t="n">
        <x:v>0</x:v>
      </x:c>
      <x:c r="N277" s="5" t="str">
        <x:v>NORMAL</x:v>
      </x:c>
      <x:c r="O277" s="11" t="str">
        <x:f>LEFT(B277,7)</x:f>
        <x:v>2026-01</x:v>
      </x:c>
    </x:row>
    <x:row r="278">
      <x:c r="A278" s="5" t="str">
        <x:v>OP00277</x:v>
      </x:c>
      <x:c r="B278" s="5" t="str">
        <x:v>2026-01-13 00:00:00</x:v>
      </x:c>
      <x:c r="C278" s="5" t="str">
        <x:v>S001</x:v>
      </x:c>
      <x:c r="D278" s="5" t="str">
        <x:v>A001</x:v>
      </x:c>
      <x:c r="E278" s="5" t="str">
        <x:v>NIGHT</x:v>
      </x:c>
      <x:c r="F278" s="9" t="n">
        <x:v>469.34</x:v>
      </x:c>
      <x:c r="G278" s="9" t="n">
        <x:v>648999.52</x:v>
      </x:c>
      <x:c r="H278" s="9" t="n">
        <x:v>0.5</x:v>
      </x:c>
      <x:c r="I278" s="9" t="n">
        <x:v>96.43</x:v>
      </x:c>
      <x:c r="J278" s="9" t="n">
        <x:v>0.18</x:v>
      </x:c>
      <x:c r="K278" s="5" t="str">
        <x:v>NONE</x:v>
      </x:c>
      <x:c r="L278" s="10" t="n">
        <x:v>0</x:v>
      </x:c>
      <x:c r="M278" s="5" t="n">
        <x:v>0</x:v>
      </x:c>
      <x:c r="N278" s="5" t="str">
        <x:v>NORMAL</x:v>
      </x:c>
      <x:c r="O278" s="11" t="str">
        <x:f>LEFT(B278,7)</x:f>
        <x:v>2026-01</x:v>
      </x:c>
    </x:row>
    <x:row r="279">
      <x:c r="A279" s="5" t="str">
        <x:v>OP00278</x:v>
      </x:c>
      <x:c r="B279" s="5" t="str">
        <x:v>2026-01-15 04:00:00</x:v>
      </x:c>
      <x:c r="C279" s="5" t="str">
        <x:v>S002</x:v>
      </x:c>
      <x:c r="D279" s="5" t="str">
        <x:v>A004</x:v>
      </x:c>
      <x:c r="E279" s="5" t="str">
        <x:v>NIGHT</x:v>
      </x:c>
      <x:c r="F279" s="9" t="n">
        <x:v>97.93</x:v>
      </x:c>
      <x:c r="G279" s="9" t="n">
        <x:v>132286.04</x:v>
      </x:c>
      <x:c r="H279" s="9" t="n">
        <x:v>0.538</x:v>
      </x:c>
      <x:c r="I279" s="9" t="n">
        <x:v>98.72</x:v>
      </x:c>
      <x:c r="J279" s="9" t="n">
        <x:v>0.08</x:v>
      </x:c>
      <x:c r="K279" s="5" t="str">
        <x:v>NONE</x:v>
      </x:c>
      <x:c r="L279" s="10" t="n">
        <x:v>0</x:v>
      </x:c>
      <x:c r="M279" s="5" t="n">
        <x:v>0</x:v>
      </x:c>
      <x:c r="N279" s="5" t="str">
        <x:v>NORMAL</x:v>
      </x:c>
      <x:c r="O279" s="11" t="str">
        <x:f>LEFT(B279,7)</x:f>
        <x:v>2026-01</x:v>
      </x:c>
    </x:row>
    <x:row r="280">
      <x:c r="A280" s="5" t="str">
        <x:v>OP00279</x:v>
      </x:c>
      <x:c r="B280" s="5" t="str">
        <x:v>2026-01-17 08:00:00</x:v>
      </x:c>
      <x:c r="C280" s="5" t="str">
        <x:v>S003</x:v>
      </x:c>
      <x:c r="D280" s="5" t="str">
        <x:v>A007</x:v>
      </x:c>
      <x:c r="E280" s="5" t="str">
        <x:v>DAY</x:v>
      </x:c>
      <x:c r="F280" s="9" t="n">
        <x:v>638.6</x:v>
      </x:c>
      <x:c r="G280" s="9" t="n">
        <x:v>881735.69</x:v>
      </x:c>
      <x:c r="H280" s="9" t="n">
        <x:v>0.335</x:v>
      </x:c>
      <x:c r="I280" s="9" t="n">
        <x:v>97.87</x:v>
      </x:c>
      <x:c r="J280" s="9" t="n">
        <x:v>0.02</x:v>
      </x:c>
      <x:c r="K280" s="5" t="str">
        <x:v>NONE</x:v>
      </x:c>
      <x:c r="L280" s="10" t="n">
        <x:v>0</x:v>
      </x:c>
      <x:c r="M280" s="5" t="n">
        <x:v>0</x:v>
      </x:c>
      <x:c r="N280" s="5" t="str">
        <x:v>NORMAL</x:v>
      </x:c>
      <x:c r="O280" s="11" t="str">
        <x:f>LEFT(B280,7)</x:f>
        <x:v>2026-01</x:v>
      </x:c>
    </x:row>
    <x:row r="281">
      <x:c r="A281" s="5" t="str">
        <x:v>OP00280</x:v>
      </x:c>
      <x:c r="B281" s="5" t="str">
        <x:v>2026-01-19 12:00:00</x:v>
      </x:c>
      <x:c r="C281" s="5" t="str">
        <x:v>S004</x:v>
      </x:c>
      <x:c r="D281" s="5" t="str">
        <x:v>A010</x:v>
      </x:c>
      <x:c r="E281" s="5" t="str">
        <x:v>DAY</x:v>
      </x:c>
      <x:c r="F281" s="9" t="n">
        <x:v>237.68</x:v>
      </x:c>
      <x:c r="G281" s="9" t="n">
        <x:v>310694.07</x:v>
      </x:c>
      <x:c r="H281" s="9" t="n">
        <x:v>0.186</x:v>
      </x:c>
      <x:c r="I281" s="9" t="n">
        <x:v>96.76</x:v>
      </x:c>
      <x:c r="J281" s="9" t="n">
        <x:v>0.01</x:v>
      </x:c>
      <x:c r="K281" s="5" t="str">
        <x:v>NONE</x:v>
      </x:c>
      <x:c r="L281" s="10" t="n">
        <x:v>0</x:v>
      </x:c>
      <x:c r="M281" s="5" t="n">
        <x:v>0</x:v>
      </x:c>
      <x:c r="N281" s="5" t="str">
        <x:v>NORMAL</x:v>
      </x:c>
      <x:c r="O281" s="11" t="str">
        <x:f>LEFT(B281,7)</x:f>
        <x:v>2026-01</x:v>
      </x:c>
    </x:row>
    <x:row r="282">
      <x:c r="A282" s="5" t="str">
        <x:v>OP00281</x:v>
      </x:c>
      <x:c r="B282" s="5" t="str">
        <x:v>2026-01-21 16:00:00</x:v>
      </x:c>
      <x:c r="C282" s="5" t="str">
        <x:v>S001</x:v>
      </x:c>
      <x:c r="D282" s="5" t="str">
        <x:v>A002</x:v>
      </x:c>
      <x:c r="E282" s="5" t="str">
        <x:v>DAY</x:v>
      </x:c>
      <x:c r="F282" s="9" t="n">
        <x:v>373.68</x:v>
      </x:c>
      <x:c r="G282" s="9" t="n">
        <x:v>478825.6</x:v>
      </x:c>
      <x:c r="H282" s="9" t="n">
        <x:v>0.179</x:v>
      </x:c>
      <x:c r="I282" s="9" t="n">
        <x:v>97.04</x:v>
      </x:c>
      <x:c r="J282" s="9" t="n">
        <x:v>1.89</x:v>
      </x:c>
      <x:c r="K282" s="5" t="str">
        <x:v>PREVENTIVE</x:v>
      </x:c>
      <x:c r="L282" s="10" t="n">
        <x:v>5138.87</x:v>
      </x:c>
      <x:c r="M282" s="5" t="n">
        <x:v>0</x:v>
      </x:c>
      <x:c r="N282" s="5" t="str">
        <x:v>NORMAL</x:v>
      </x:c>
      <x:c r="O282" s="11" t="str">
        <x:f>LEFT(B282,7)</x:f>
        <x:v>2026-01</x:v>
      </x:c>
    </x:row>
    <x:row r="283">
      <x:c r="A283" s="5" t="str">
        <x:v>OP00282</x:v>
      </x:c>
      <x:c r="B283" s="5" t="str">
        <x:v>2026-01-23 20:00:00</x:v>
      </x:c>
      <x:c r="C283" s="5" t="str">
        <x:v>S002</x:v>
      </x:c>
      <x:c r="D283" s="5" t="str">
        <x:v>A005</x:v>
      </x:c>
      <x:c r="E283" s="5" t="str">
        <x:v>NIGHT</x:v>
      </x:c>
      <x:c r="F283" s="9" t="n">
        <x:v>111.03</x:v>
      </x:c>
      <x:c r="G283" s="9" t="n">
        <x:v>153728.84</x:v>
      </x:c>
      <x:c r="H283" s="9" t="n">
        <x:v>0.274</x:v>
      </x:c>
      <x:c r="I283" s="9" t="n">
        <x:v>98.6</x:v>
      </x:c>
      <x:c r="J283" s="9" t="n">
        <x:v>0.22</x:v>
      </x:c>
      <x:c r="K283" s="5" t="str">
        <x:v>NONE</x:v>
      </x:c>
      <x:c r="L283" s="10" t="n">
        <x:v>0</x:v>
      </x:c>
      <x:c r="M283" s="5" t="n">
        <x:v>0</x:v>
      </x:c>
      <x:c r="N283" s="5" t="str">
        <x:v>NORMAL</x:v>
      </x:c>
      <x:c r="O283" s="11" t="str">
        <x:f>LEFT(B283,7)</x:f>
        <x:v>2026-01</x:v>
      </x:c>
    </x:row>
    <x:row r="284">
      <x:c r="A284" s="5" t="str">
        <x:v>OP00283</x:v>
      </x:c>
      <x:c r="B284" s="5" t="str">
        <x:v>2026-01-25 00:00:00</x:v>
      </x:c>
      <x:c r="C284" s="5" t="str">
        <x:v>S003</x:v>
      </x:c>
      <x:c r="D284" s="5" t="str">
        <x:v>A008</x:v>
      </x:c>
      <x:c r="E284" s="5" t="str">
        <x:v>NIGHT</x:v>
      </x:c>
      <x:c r="F284" s="9" t="n">
        <x:v>628.46</x:v>
      </x:c>
      <x:c r="G284" s="9" t="n">
        <x:v>845244.87</x:v>
      </x:c>
      <x:c r="H284" s="9" t="n">
        <x:v>0.415</x:v>
      </x:c>
      <x:c r="I284" s="9" t="n">
        <x:v>97.71</x:v>
      </x:c>
      <x:c r="J284" s="9" t="n">
        <x:v>0.21</x:v>
      </x:c>
      <x:c r="K284" s="5" t="str">
        <x:v>NONE</x:v>
      </x:c>
      <x:c r="L284" s="10" t="n">
        <x:v>0</x:v>
      </x:c>
      <x:c r="M284" s="5" t="n">
        <x:v>1</x:v>
      </x:c>
      <x:c r="N284" s="5" t="str">
        <x:v>ALARM</x:v>
      </x:c>
      <x:c r="O284" s="11" t="str">
        <x:f>LEFT(B284,7)</x:f>
        <x:v>2026-01</x:v>
      </x:c>
    </x:row>
    <x:row r="285">
      <x:c r="A285" s="5" t="str">
        <x:v>OP00284</x:v>
      </x:c>
      <x:c r="B285" s="5" t="str">
        <x:v>2026-01-27 04:00:00</x:v>
      </x:c>
      <x:c r="C285" s="5" t="str">
        <x:v>S004</x:v>
      </x:c>
      <x:c r="D285" s="5" t="str">
        <x:v>A011</x:v>
      </x:c>
      <x:c r="E285" s="5" t="str">
        <x:v>NIGHT</x:v>
      </x:c>
      <x:c r="F285" s="9" t="n">
        <x:v>256.57</x:v>
      </x:c>
      <x:c r="G285" s="9" t="n">
        <x:v>340989.28</x:v>
      </x:c>
      <x:c r="H285" s="9" t="n">
        <x:v>0.304</x:v>
      </x:c>
      <x:c r="I285" s="9" t="n">
        <x:v>97.38</x:v>
      </x:c>
      <x:c r="J285" s="9" t="n">
        <x:v>0.13</x:v>
      </x:c>
      <x:c r="K285" s="5" t="str">
        <x:v>NONE</x:v>
      </x:c>
      <x:c r="L285" s="10" t="n">
        <x:v>0</x:v>
      </x:c>
      <x:c r="M285" s="5" t="n">
        <x:v>0</x:v>
      </x:c>
      <x:c r="N285" s="5" t="str">
        <x:v>NORMAL</x:v>
      </x:c>
      <x:c r="O285" s="11" t="str">
        <x:f>LEFT(B285,7)</x:f>
        <x:v>2026-01</x:v>
      </x:c>
    </x:row>
    <x:row r="286">
      <x:c r="A286" s="5" t="str">
        <x:v>OP00285</x:v>
      </x:c>
      <x:c r="B286" s="5" t="str">
        <x:v>2026-01-29 08:00:00</x:v>
      </x:c>
      <x:c r="C286" s="5" t="str">
        <x:v>S001</x:v>
      </x:c>
      <x:c r="D286" s="5" t="str">
        <x:v>A003</x:v>
      </x:c>
      <x:c r="E286" s="5" t="str">
        <x:v>DAY</x:v>
      </x:c>
      <x:c r="F286" s="9" t="n">
        <x:v>400.59</x:v>
      </x:c>
      <x:c r="G286" s="9" t="n">
        <x:v>555727.3</x:v>
      </x:c>
      <x:c r="H286" s="9" t="n">
        <x:v>0.642</x:v>
      </x:c>
      <x:c r="I286" s="9" t="n">
        <x:v>98.65</x:v>
      </x:c>
      <x:c r="J286" s="9" t="n">
        <x:v>0.06</x:v>
      </x:c>
      <x:c r="K286" s="5" t="str">
        <x:v>NONE</x:v>
      </x:c>
      <x:c r="L286" s="10" t="n">
        <x:v>0</x:v>
      </x:c>
      <x:c r="M286" s="5" t="n">
        <x:v>0</x:v>
      </x:c>
      <x:c r="N286" s="5" t="str">
        <x:v>NORMAL</x:v>
      </x:c>
      <x:c r="O286" s="11" t="str">
        <x:f>LEFT(B286,7)</x:f>
        <x:v>2026-01</x:v>
      </x:c>
    </x:row>
    <x:row r="287">
      <x:c r="A287" s="5" t="str">
        <x:v>OP00286</x:v>
      </x:c>
      <x:c r="B287" s="5" t="str">
        <x:v>2026-01-31 12:00:00</x:v>
      </x:c>
      <x:c r="C287" s="5" t="str">
        <x:v>S002</x:v>
      </x:c>
      <x:c r="D287" s="5" t="str">
        <x:v>A006</x:v>
      </x:c>
      <x:c r="E287" s="5" t="str">
        <x:v>DAY</x:v>
      </x:c>
      <x:c r="F287" s="9" t="n">
        <x:v>108.87</x:v>
      </x:c>
      <x:c r="G287" s="9" t="n">
        <x:v>138618.05</x:v>
      </x:c>
      <x:c r="H287" s="9" t="n">
        <x:v>0.269</x:v>
      </x:c>
      <x:c r="I287" s="9" t="n">
        <x:v>96.38</x:v>
      </x:c>
      <x:c r="J287" s="9" t="n">
        <x:v>0.07</x:v>
      </x:c>
      <x:c r="K287" s="5" t="str">
        <x:v>NONE</x:v>
      </x:c>
      <x:c r="L287" s="10" t="n">
        <x:v>0</x:v>
      </x:c>
      <x:c r="M287" s="5" t="n">
        <x:v>0</x:v>
      </x:c>
      <x:c r="N287" s="5" t="str">
        <x:v>NORMAL</x:v>
      </x:c>
      <x:c r="O287" s="11" t="str">
        <x:f>LEFT(B287,7)</x:f>
        <x:v>2026-01</x:v>
      </x:c>
    </x:row>
    <x:row r="288">
      <x:c r="A288" s="5" t="str">
        <x:v>OP00287</x:v>
      </x:c>
      <x:c r="B288" s="5" t="str">
        <x:v>2026-02-02 16:00:00</x:v>
      </x:c>
      <x:c r="C288" s="5" t="str">
        <x:v>S003</x:v>
      </x:c>
      <x:c r="D288" s="5" t="str">
        <x:v>A009</x:v>
      </x:c>
      <x:c r="E288" s="5" t="str">
        <x:v>DAY</x:v>
      </x:c>
      <x:c r="F288" s="9" t="n">
        <x:v>606.31</x:v>
      </x:c>
      <x:c r="G288" s="9" t="n">
        <x:v>829084.03</x:v>
      </x:c>
      <x:c r="H288" s="9" t="n">
        <x:v>0.509</x:v>
      </x:c>
      <x:c r="I288" s="9" t="n">
        <x:v>97.7</x:v>
      </x:c>
      <x:c r="J288" s="9" t="n">
        <x:v>0.95</x:v>
      </x:c>
      <x:c r="K288" s="5" t="str">
        <x:v>INSPECTION</x:v>
      </x:c>
      <x:c r="L288" s="10" t="n">
        <x:v>2228.55</x:v>
      </x:c>
      <x:c r="M288" s="5" t="n">
        <x:v>0</x:v>
      </x:c>
      <x:c r="N288" s="5" t="str">
        <x:v>NORMAL</x:v>
      </x:c>
      <x:c r="O288" s="11" t="str">
        <x:f>LEFT(B288,7)</x:f>
        <x:v>2026-02</x:v>
      </x:c>
    </x:row>
    <x:row r="289">
      <x:c r="A289" s="5" t="str">
        <x:v>OP00288</x:v>
      </x:c>
      <x:c r="B289" s="5" t="str">
        <x:v>2026-02-04 20:00:00</x:v>
      </x:c>
      <x:c r="C289" s="5" t="str">
        <x:v>S004</x:v>
      </x:c>
      <x:c r="D289" s="5" t="str">
        <x:v>A012</x:v>
      </x:c>
      <x:c r="E289" s="5" t="str">
        <x:v>NIGHT</x:v>
      </x:c>
      <x:c r="F289" s="9" t="n">
        <x:v>276.16</x:v>
      </x:c>
      <x:c r="G289" s="9" t="n">
        <x:v>367052.73</x:v>
      </x:c>
      <x:c r="H289" s="9" t="n">
        <x:v>0.239</x:v>
      </x:c>
      <x:c r="I289" s="9" t="n">
        <x:v>97.18</x:v>
      </x:c>
      <x:c r="J289" s="9" t="n">
        <x:v>2.11</x:v>
      </x:c>
      <x:c r="K289" s="5" t="str">
        <x:v>PREVENTIVE</x:v>
      </x:c>
      <x:c r="L289" s="10" t="n">
        <x:v>13323.63</x:v>
      </x:c>
      <x:c r="M289" s="5" t="n">
        <x:v>0</x:v>
      </x:c>
      <x:c r="N289" s="5" t="str">
        <x:v>WATCH</x:v>
      </x:c>
      <x:c r="O289" s="11" t="str">
        <x:f>LEFT(B289,7)</x:f>
        <x:v>2026-02</x:v>
      </x:c>
    </x:row>
    <x:row r="290">
      <x:c r="A290" s="5" t="str">
        <x:v>OP00289</x:v>
      </x:c>
      <x:c r="B290" s="5" t="str">
        <x:v>2026-02-06 00:00:00</x:v>
      </x:c>
      <x:c r="C290" s="5" t="str">
        <x:v>S001</x:v>
      </x:c>
      <x:c r="D290" s="5" t="str">
        <x:v>A001</x:v>
      </x:c>
      <x:c r="E290" s="5" t="str">
        <x:v>NIGHT</x:v>
      </x:c>
      <x:c r="F290" s="9" t="n">
        <x:v>422.29</x:v>
      </x:c>
      <x:c r="G290" s="9" t="n">
        <x:v>584403.51</x:v>
      </x:c>
      <x:c r="H290" s="9" t="n">
        <x:v>0.666</x:v>
      </x:c>
      <x:c r="I290" s="9" t="n">
        <x:v>95.95</x:v>
      </x:c>
      <x:c r="J290" s="9" t="n">
        <x:v>0.1</x:v>
      </x:c>
      <x:c r="K290" s="5" t="str">
        <x:v>NONE</x:v>
      </x:c>
      <x:c r="L290" s="10" t="n">
        <x:v>0</x:v>
      </x:c>
      <x:c r="M290" s="5" t="n">
        <x:v>0</x:v>
      </x:c>
      <x:c r="N290" s="5" t="str">
        <x:v>NORMAL</x:v>
      </x:c>
      <x:c r="O290" s="11" t="str">
        <x:f>LEFT(B290,7)</x:f>
        <x:v>2026-02</x:v>
      </x:c>
    </x:row>
    <x:row r="291">
      <x:c r="A291" s="5" t="str">
        <x:v>OP00290</x:v>
      </x:c>
      <x:c r="B291" s="5" t="str">
        <x:v>2026-02-08 04:00:00</x:v>
      </x:c>
      <x:c r="C291" s="5" t="str">
        <x:v>S002</x:v>
      </x:c>
      <x:c r="D291" s="5" t="str">
        <x:v>A004</x:v>
      </x:c>
      <x:c r="E291" s="5" t="str">
        <x:v>NIGHT</x:v>
      </x:c>
      <x:c r="F291" s="9" t="n">
        <x:v>83.75</x:v>
      </x:c>
      <x:c r="G291" s="9" t="n">
        <x:v>110592.18</x:v>
      </x:c>
      <x:c r="H291" s="9" t="n">
        <x:v>0.269</x:v>
      </x:c>
      <x:c r="I291" s="9" t="n">
        <x:v>98.22</x:v>
      </x:c>
      <x:c r="J291" s="9" t="n">
        <x:v>0.07</x:v>
      </x:c>
      <x:c r="K291" s="5" t="str">
        <x:v>NONE</x:v>
      </x:c>
      <x:c r="L291" s="10" t="n">
        <x:v>0</x:v>
      </x:c>
      <x:c r="M291" s="5" t="n">
        <x:v>0</x:v>
      </x:c>
      <x:c r="N291" s="5" t="str">
        <x:v>NORMAL</x:v>
      </x:c>
      <x:c r="O291" s="11" t="str">
        <x:f>LEFT(B291,7)</x:f>
        <x:v>2026-02</x:v>
      </x:c>
    </x:row>
    <x:row r="292">
      <x:c r="A292" s="5" t="str">
        <x:v>OP00291</x:v>
      </x:c>
      <x:c r="B292" s="5" t="str">
        <x:v>2026-02-10 08:00:00</x:v>
      </x:c>
      <x:c r="C292" s="5" t="str">
        <x:v>S003</x:v>
      </x:c>
      <x:c r="D292" s="5" t="str">
        <x:v>A007</x:v>
      </x:c>
      <x:c r="E292" s="5" t="str">
        <x:v>DAY</x:v>
      </x:c>
      <x:c r="F292" s="9" t="n">
        <x:v>605.77</x:v>
      </x:c>
      <x:c r="G292" s="9" t="n">
        <x:v>778801.92</x:v>
      </x:c>
      <x:c r="H292" s="9" t="n">
        <x:v>0.16</x:v>
      </x:c>
      <x:c r="I292" s="9" t="n">
        <x:v>98.48</x:v>
      </x:c>
      <x:c r="J292" s="9" t="n">
        <x:v>3.59</x:v>
      </x:c>
      <x:c r="K292" s="5" t="str">
        <x:v>CORRECTIVE</x:v>
      </x:c>
      <x:c r="L292" s="10" t="n">
        <x:v>41712.08</x:v>
      </x:c>
      <x:c r="M292" s="5" t="n">
        <x:v>0</x:v>
      </x:c>
      <x:c r="N292" s="5" t="str">
        <x:v>WATCH</x:v>
      </x:c>
      <x:c r="O292" s="11" t="str">
        <x:f>LEFT(B292,7)</x:f>
        <x:v>2026-02</x:v>
      </x:c>
    </x:row>
    <x:row r="293">
      <x:c r="A293" s="5" t="str">
        <x:v>OP00292</x:v>
      </x:c>
      <x:c r="B293" s="5" t="str">
        <x:v>2026-02-12 12:00:00</x:v>
      </x:c>
      <x:c r="C293" s="5" t="str">
        <x:v>S004</x:v>
      </x:c>
      <x:c r="D293" s="5" t="str">
        <x:v>A010</x:v>
      </x:c>
      <x:c r="E293" s="5" t="str">
        <x:v>DAY</x:v>
      </x:c>
      <x:c r="F293" s="9" t="n">
        <x:v>211.73</x:v>
      </x:c>
      <x:c r="G293" s="9" t="n">
        <x:v>283535.39</x:v>
      </x:c>
      <x:c r="H293" s="9" t="n">
        <x:v>0.544</x:v>
      </x:c>
      <x:c r="I293" s="9" t="n">
        <x:v>97.78</x:v>
      </x:c>
      <x:c r="J293" s="9" t="n">
        <x:v>0.09</x:v>
      </x:c>
      <x:c r="K293" s="5" t="str">
        <x:v>NONE</x:v>
      </x:c>
      <x:c r="L293" s="10" t="n">
        <x:v>0</x:v>
      </x:c>
      <x:c r="M293" s="5" t="n">
        <x:v>0</x:v>
      </x:c>
      <x:c r="N293" s="5" t="str">
        <x:v>NORMAL</x:v>
      </x:c>
      <x:c r="O293" s="11" t="str">
        <x:f>LEFT(B293,7)</x:f>
        <x:v>2026-02</x:v>
      </x:c>
    </x:row>
    <x:row r="294">
      <x:c r="A294" s="5" t="str">
        <x:v>OP00293</x:v>
      </x:c>
      <x:c r="B294" s="5" t="str">
        <x:v>2026-02-14 16:00:00</x:v>
      </x:c>
      <x:c r="C294" s="5" t="str">
        <x:v>S001</x:v>
      </x:c>
      <x:c r="D294" s="5" t="str">
        <x:v>A002</x:v>
      </x:c>
      <x:c r="E294" s="5" t="str">
        <x:v>DAY</x:v>
      </x:c>
      <x:c r="F294" s="9" t="n">
        <x:v>415.87</x:v>
      </x:c>
      <x:c r="G294" s="9" t="n">
        <x:v>570767.77</x:v>
      </x:c>
      <x:c r="H294" s="9" t="n">
        <x:v>0.345</x:v>
      </x:c>
      <x:c r="I294" s="9" t="n">
        <x:v>98.26</x:v>
      </x:c>
      <x:c r="J294" s="9" t="n">
        <x:v>0.16</x:v>
      </x:c>
      <x:c r="K294" s="5" t="str">
        <x:v>NONE</x:v>
      </x:c>
      <x:c r="L294" s="10" t="n">
        <x:v>0</x:v>
      </x:c>
      <x:c r="M294" s="5" t="n">
        <x:v>0</x:v>
      </x:c>
      <x:c r="N294" s="5" t="str">
        <x:v>NORMAL</x:v>
      </x:c>
      <x:c r="O294" s="11" t="str">
        <x:f>LEFT(B294,7)</x:f>
        <x:v>2026-02</x:v>
      </x:c>
    </x:row>
    <x:row r="295">
      <x:c r="A295" s="5" t="str">
        <x:v>OP00294</x:v>
      </x:c>
      <x:c r="B295" s="5" t="str">
        <x:v>2026-02-16 20:00:00</x:v>
      </x:c>
      <x:c r="C295" s="5" t="str">
        <x:v>S002</x:v>
      </x:c>
      <x:c r="D295" s="5" t="str">
        <x:v>A005</x:v>
      </x:c>
      <x:c r="E295" s="5" t="str">
        <x:v>NIGHT</x:v>
      </x:c>
      <x:c r="F295" s="9" t="n">
        <x:v>92.73</x:v>
      </x:c>
      <x:c r="G295" s="9" t="n">
        <x:v>119849.68</x:v>
      </x:c>
      <x:c r="H295" s="9" t="n">
        <x:v>0.56</x:v>
      </x:c>
      <x:c r="I295" s="9" t="n">
        <x:v>97.07</x:v>
      </x:c>
      <x:c r="J295" s="9" t="n">
        <x:v>0.1</x:v>
      </x:c>
      <x:c r="K295" s="5" t="str">
        <x:v>NONE</x:v>
      </x:c>
      <x:c r="L295" s="10" t="n">
        <x:v>0</x:v>
      </x:c>
      <x:c r="M295" s="5" t="n">
        <x:v>0</x:v>
      </x:c>
      <x:c r="N295" s="5" t="str">
        <x:v>NORMAL</x:v>
      </x:c>
      <x:c r="O295" s="11" t="str">
        <x:f>LEFT(B295,7)</x:f>
        <x:v>2026-02</x:v>
      </x:c>
    </x:row>
    <x:row r="296">
      <x:c r="A296" s="5" t="str">
        <x:v>OP00295</x:v>
      </x:c>
      <x:c r="B296" s="5" t="str">
        <x:v>2026-02-18 00:00:00</x:v>
      </x:c>
      <x:c r="C296" s="5" t="str">
        <x:v>S003</x:v>
      </x:c>
      <x:c r="D296" s="5" t="str">
        <x:v>A008</x:v>
      </x:c>
      <x:c r="E296" s="5" t="str">
        <x:v>NIGHT</x:v>
      </x:c>
      <x:c r="F296" s="9" t="n">
        <x:v>564.69</x:v>
      </x:c>
      <x:c r="G296" s="9" t="n">
        <x:v>754931.83</x:v>
      </x:c>
      <x:c r="H296" s="9" t="n">
        <x:v>0.591</x:v>
      </x:c>
      <x:c r="I296" s="9" t="n">
        <x:v>95.71</x:v>
      </x:c>
      <x:c r="J296" s="9" t="n">
        <x:v>1.51</x:v>
      </x:c>
      <x:c r="K296" s="5" t="str">
        <x:v>PREVENTIVE</x:v>
      </x:c>
      <x:c r="L296" s="10" t="n">
        <x:v>7008.23</x:v>
      </x:c>
      <x:c r="M296" s="5" t="n">
        <x:v>0</x:v>
      </x:c>
      <x:c r="N296" s="5" t="str">
        <x:v>NORMAL</x:v>
      </x:c>
      <x:c r="O296" s="11" t="str">
        <x:f>LEFT(B296,7)</x:f>
        <x:v>2026-02</x:v>
      </x:c>
    </x:row>
    <x:row r="297">
      <x:c r="A297" s="5" t="str">
        <x:v>OP00296</x:v>
      </x:c>
      <x:c r="B297" s="5" t="str">
        <x:v>2026-02-20 04:00:00</x:v>
      </x:c>
      <x:c r="C297" s="5" t="str">
        <x:v>S004</x:v>
      </x:c>
      <x:c r="D297" s="5" t="str">
        <x:v>A011</x:v>
      </x:c>
      <x:c r="E297" s="5" t="str">
        <x:v>NIGHT</x:v>
      </x:c>
      <x:c r="F297" s="9" t="n">
        <x:v>224.08</x:v>
      </x:c>
      <x:c r="G297" s="9" t="n">
        <x:v>312350.34</x:v>
      </x:c>
      <x:c r="H297" s="9" t="n">
        <x:v>0.515</x:v>
      </x:c>
      <x:c r="I297" s="9" t="n">
        <x:v>97.55</x:v>
      </x:c>
      <x:c r="J297" s="9" t="n">
        <x:v>0.24</x:v>
      </x:c>
      <x:c r="K297" s="5" t="str">
        <x:v>NONE</x:v>
      </x:c>
      <x:c r="L297" s="10" t="n">
        <x:v>0</x:v>
      </x:c>
      <x:c r="M297" s="5" t="n">
        <x:v>0</x:v>
      </x:c>
      <x:c r="N297" s="5" t="str">
        <x:v>NORMAL</x:v>
      </x:c>
      <x:c r="O297" s="11" t="str">
        <x:f>LEFT(B297,7)</x:f>
        <x:v>2026-02</x:v>
      </x:c>
    </x:row>
    <x:row r="298">
      <x:c r="A298" s="5" t="str">
        <x:v>OP00297</x:v>
      </x:c>
      <x:c r="B298" s="5" t="str">
        <x:v>2026-02-22 08:00:00</x:v>
      </x:c>
      <x:c r="C298" s="5" t="str">
        <x:v>S001</x:v>
      </x:c>
      <x:c r="D298" s="5" t="str">
        <x:v>A003</x:v>
      </x:c>
      <x:c r="E298" s="5" t="str">
        <x:v>DAY</x:v>
      </x:c>
      <x:c r="F298" s="9" t="n">
        <x:v>468.21</x:v>
      </x:c>
      <x:c r="G298" s="9" t="n">
        <x:v>648649.43</x:v>
      </x:c>
      <x:c r="H298" s="9" t="n">
        <x:v>0.296</x:v>
      </x:c>
      <x:c r="I298" s="9" t="n">
        <x:v>96.82</x:v>
      </x:c>
      <x:c r="J298" s="9" t="n">
        <x:v>0.04</x:v>
      </x:c>
      <x:c r="K298" s="5" t="str">
        <x:v>NONE</x:v>
      </x:c>
      <x:c r="L298" s="10" t="n">
        <x:v>0</x:v>
      </x:c>
      <x:c r="M298" s="5" t="n">
        <x:v>0</x:v>
      </x:c>
      <x:c r="N298" s="5" t="str">
        <x:v>NORMAL</x:v>
      </x:c>
      <x:c r="O298" s="11" t="str">
        <x:f>LEFT(B298,7)</x:f>
        <x:v>2026-02</x:v>
      </x:c>
    </x:row>
    <x:row r="299">
      <x:c r="A299" s="5" t="str">
        <x:v>OP00298</x:v>
      </x:c>
      <x:c r="B299" s="5" t="str">
        <x:v>2026-02-24 12:00:00</x:v>
      </x:c>
      <x:c r="C299" s="5" t="str">
        <x:v>S002</x:v>
      </x:c>
      <x:c r="D299" s="5" t="str">
        <x:v>A006</x:v>
      </x:c>
      <x:c r="E299" s="5" t="str">
        <x:v>DAY</x:v>
      </x:c>
      <x:c r="F299" s="9" t="n">
        <x:v>113.15</x:v>
      </x:c>
      <x:c r="G299" s="9" t="n">
        <x:v>146980.54</x:v>
      </x:c>
      <x:c r="H299" s="9" t="n">
        <x:v>0.641</x:v>
      </x:c>
      <x:c r="I299" s="9" t="n">
        <x:v>96.94</x:v>
      </x:c>
      <x:c r="J299" s="9" t="n">
        <x:v>0.86</x:v>
      </x:c>
      <x:c r="K299" s="5" t="str">
        <x:v>INSPECTION</x:v>
      </x:c>
      <x:c r="L299" s="10" t="n">
        <x:v>1759.73</x:v>
      </x:c>
      <x:c r="M299" s="5" t="n">
        <x:v>0</x:v>
      </x:c>
      <x:c r="N299" s="5" t="str">
        <x:v>NORMAL</x:v>
      </x:c>
      <x:c r="O299" s="11" t="str">
        <x:f>LEFT(B299,7)</x:f>
        <x:v>2026-02</x:v>
      </x:c>
    </x:row>
    <x:row r="300">
      <x:c r="A300" s="5" t="str">
        <x:v>OP00299</x:v>
      </x:c>
      <x:c r="B300" s="5" t="str">
        <x:v>2026-02-26 16:00:00</x:v>
      </x:c>
      <x:c r="C300" s="5" t="str">
        <x:v>S003</x:v>
      </x:c>
      <x:c r="D300" s="5" t="str">
        <x:v>A009</x:v>
      </x:c>
      <x:c r="E300" s="5" t="str">
        <x:v>DAY</x:v>
      </x:c>
      <x:c r="F300" s="9" t="n">
        <x:v>625.19</x:v>
      </x:c>
      <x:c r="G300" s="9" t="n">
        <x:v>837192.05</x:v>
      </x:c>
      <x:c r="H300" s="9" t="n">
        <x:v>0.32</x:v>
      </x:c>
      <x:c r="I300" s="9" t="n">
        <x:v>97.91</x:v>
      </x:c>
      <x:c r="J300" s="9" t="n">
        <x:v>0.17</x:v>
      </x:c>
      <x:c r="K300" s="5" t="str">
        <x:v>NONE</x:v>
      </x:c>
      <x:c r="L300" s="10" t="n">
        <x:v>0</x:v>
      </x:c>
      <x:c r="M300" s="5" t="n">
        <x:v>0</x:v>
      </x:c>
      <x:c r="N300" s="5" t="str">
        <x:v>NORMAL</x:v>
      </x:c>
      <x:c r="O300" s="11" t="str">
        <x:f>LEFT(B300,7)</x:f>
        <x:v>2026-02</x:v>
      </x:c>
    </x:row>
    <x:row r="301">
      <x:c r="A301" s="5" t="str">
        <x:v>OP00300</x:v>
      </x:c>
      <x:c r="B301" s="5" t="str">
        <x:v>2026-02-28 20:00:00</x:v>
      </x:c>
      <x:c r="C301" s="5" t="str">
        <x:v>S004</x:v>
      </x:c>
      <x:c r="D301" s="5" t="str">
        <x:v>A012</x:v>
      </x:c>
      <x:c r="E301" s="5" t="str">
        <x:v>NIGHT</x:v>
      </x:c>
      <x:c r="F301" s="9" t="n">
        <x:v>267.97</x:v>
      </x:c>
      <x:c r="G301" s="9" t="n">
        <x:v>367958.99</x:v>
      </x:c>
      <x:c r="H301" s="9" t="n">
        <x:v>0.593</x:v>
      </x:c>
      <x:c r="I301" s="9" t="n">
        <x:v>97.9</x:v>
      </x:c>
      <x:c r="J301" s="9" t="n">
        <x:v>0.01</x:v>
      </x:c>
      <x:c r="K301" s="5" t="str">
        <x:v>NONE</x:v>
      </x:c>
      <x:c r="L301" s="10" t="n">
        <x:v>0</x:v>
      </x:c>
      <x:c r="M301" s="5" t="n">
        <x:v>0</x:v>
      </x:c>
      <x:c r="N301" s="5" t="str">
        <x:v>NORMAL</x:v>
      </x:c>
      <x:c r="O301" s="11" t="str">
        <x:f>LEFT(B301,7)</x:f>
        <x:v>2026-02</x:v>
      </x:c>
    </x:row>
  </x:sheetData>
  <x:pageMargins left="0.7" right="0.7" top="0.75" bottom="0.75" header="0.3" footer="0.3"/>
  <x:tableParts count="1">
    <x:tablePart xmlns:r="http://schemas.openxmlformats.org/officeDocument/2006/relationships" r:id="R315a67035e03473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6" hidden="0" customWidth="1"/>
    <x:col min="5" max="5" width="15" hidden="0" customWidth="1"/>
    <x:col min="6" max="6" width="18" hidden="0" customWidth="1"/>
    <x:col min="7" max="7" width="22" hidden="0" customWidth="1"/>
    <x:col min="8" max="8" width="14" hidden="0" customWidth="1"/>
  </x:cols>
  <x:sheetData>
    <x:row r="1" ht="24" customHeight="1">
      <x:c r="A1" s="6" t="str">
        <x:v>site_id</x:v>
      </x:c>
      <x:c r="B1" s="7" t="str">
        <x:v>site_name</x:v>
      </x:c>
      <x:c r="C1" s="7" t="str">
        <x:v>country</x:v>
      </x:c>
      <x:c r="D1" s="7" t="str">
        <x:v>region</x:v>
      </x:c>
      <x:c r="E1" s="7" t="str">
        <x:v>terminal_type</x:v>
      </x:c>
      <x:c r="F1" s="7" t="str">
        <x:v>commissioned_date</x:v>
      </x:c>
      <x:c r="G1" s="7" t="str">
        <x:v>design_sendout_mmscfd</x:v>
      </x:c>
      <x:c r="H1" s="8" t="str">
        <x:v>site_status</x:v>
      </x:c>
    </x:row>
    <x:row r="2">
      <x:c r="A2" s="5" t="str">
        <x:v>S001</x:v>
      </x:c>
      <x:c r="B2" s="5" t="str">
        <x:v>Philippines Hybrid Terminal (Demo)</x:v>
      </x:c>
      <x:c r="C2" s="5" t="str">
        <x:v>Philippines</x:v>
      </x:c>
      <x:c r="D2" s="5" t="str">
        <x:v>Asia</x:v>
      </x:c>
      <x:c r="E2" s="5" t="str">
        <x:v>HYBRID</x:v>
      </x:c>
      <x:c r="F2" s="5" t="str">
        <x:v>2021-06-01</x:v>
      </x:c>
      <x:c r="G2" s="5" t="str">
        <x:v>500</x:v>
      </x:c>
      <x:c r="H2" s="5" t="str">
        <x:v>ACTIVE</x:v>
      </x:c>
    </x:row>
    <x:row r="3">
      <x:c r="A3" s="5" t="str">
        <x:v>S002</x:v>
      </x:c>
      <x:c r="B3" s="5" t="str">
        <x:v>Bali Small-Scale FRU (Demo)</x:v>
      </x:c>
      <x:c r="C3" s="5" t="str">
        <x:v>Indonesia</x:v>
      </x:c>
      <x:c r="D3" s="5" t="str">
        <x:v>Asia</x:v>
      </x:c>
      <x:c r="E3" s="5" t="str">
        <x:v>FLOATING</x:v>
      </x:c>
      <x:c r="F3" s="5" t="str">
        <x:v>2020-09-15</x:v>
      </x:c>
      <x:c r="G3" s="5" t="str">
        <x:v>120</x:v>
      </x:c>
      <x:c r="H3" s="5" t="str">
        <x:v>ACTIVE</x:v>
      </x:c>
    </x:row>
    <x:row r="4">
      <x:c r="A4" s="5" t="str">
        <x:v>S003</x:v>
      </x:c>
      <x:c r="B4" s="5" t="str">
        <x:v>Aqaba Onshore Terminal (Demo)</x:v>
      </x:c>
      <x:c r="C4" s="5" t="str">
        <x:v>Jordan</x:v>
      </x:c>
      <x:c r="D4" s="5" t="str">
        <x:v>Middle East</x:v>
      </x:c>
      <x:c r="E4" s="5" t="str">
        <x:v>ONSHORE</x:v>
      </x:c>
      <x:c r="F4" s="5" t="str">
        <x:v>2024-11-01</x:v>
      </x:c>
      <x:c r="G4" s="5" t="str">
        <x:v>720</x:v>
      </x:c>
      <x:c r="H4" s="5" t="str">
        <x:v>ACTIVE</x:v>
      </x:c>
    </x:row>
    <x:row r="5">
      <x:c r="A5" s="5" t="str">
        <x:v>S004</x:v>
      </x:c>
      <x:c r="B5" s="5" t="str">
        <x:v>Dakar Jetty Regas Unit (Demo)</x:v>
      </x:c>
      <x:c r="C5" s="5" t="str">
        <x:v>Senegal</x:v>
      </x:c>
      <x:c r="D5" s="5" t="str">
        <x:v>Africa</x:v>
      </x:c>
      <x:c r="E5" s="5" t="str">
        <x:v>JETTY</x:v>
      </x:c>
      <x:c r="F5" s="5" t="str">
        <x:v>2025-04-01</x:v>
      </x:c>
      <x:c r="G5" s="5" t="str">
        <x:v>300</x:v>
      </x:c>
      <x:c r="H5" s="5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0cc10c9694b442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22" hidden="0" customWidth="1"/>
    <x:col min="5" max="5" width="14" hidden="0" customWidth="1"/>
  </x:cols>
  <x:sheetData>
    <x:row r="1" ht="24" customHeight="1">
      <x:c r="A1" s="6" t="str">
        <x:v>asset_id</x:v>
      </x:c>
      <x:c r="B1" s="7" t="str">
        <x:v>site_id</x:v>
      </x:c>
      <x:c r="C1" s="7" t="str">
        <x:v>asset_name</x:v>
      </x:c>
      <x:c r="D1" s="7" t="str">
        <x:v>asset_category</x:v>
      </x:c>
      <x:c r="E1" s="8" t="str">
        <x:v>criticality</x:v>
      </x:c>
    </x:row>
    <x:row r="2">
      <x:c r="A2" s="5" t="str">
        <x:v>A001</x:v>
      </x:c>
      <x:c r="B2" s="5" t="str">
        <x:v>S001</x:v>
      </x:c>
      <x:c r="C2" s="5" t="str">
        <x:v>RegasTainer Module 01</x:v>
      </x:c>
      <x:c r="D2" s="5" t="str">
        <x:v>REGASIFICATION</x:v>
      </x:c>
      <x:c r="E2" s="5" t="str">
        <x:v>HIGH</x:v>
      </x:c>
    </x:row>
    <x:row r="3">
      <x:c r="A3" s="5" t="str">
        <x:v>A002</x:v>
      </x:c>
      <x:c r="B3" s="5" t="str">
        <x:v>S001</x:v>
      </x:c>
      <x:c r="C3" s="5" t="str">
        <x:v>BOG Compressor 01</x:v>
      </x:c>
      <x:c r="D3" s="5" t="str">
        <x:v>BOG_MANAGEMENT</x:v>
      </x:c>
      <x:c r="E3" s="5" t="str">
        <x:v>HIGH</x:v>
      </x:c>
    </x:row>
    <x:row r="4">
      <x:c r="A4" s="5" t="str">
        <x:v>A003</x:v>
      </x:c>
      <x:c r="B4" s="5" t="str">
        <x:v>S001</x:v>
      </x:c>
      <x:c r="C4" s="5" t="str">
        <x:v>Cargo Handling Arm 01</x:v>
      </x:c>
      <x:c r="D4" s="5" t="str">
        <x:v>CARGO_HANDLING</x:v>
      </x:c>
      <x:c r="E4" s="5" t="str">
        <x:v>MEDIUM</x:v>
      </x:c>
    </x:row>
    <x:row r="5">
      <x:c r="A5" s="5" t="str">
        <x:v>A004</x:v>
      </x:c>
      <x:c r="B5" s="5" t="str">
        <x:v>S002</x:v>
      </x:c>
      <x:c r="C5" s="5" t="str">
        <x:v>FRU Regas Module 01</x:v>
      </x:c>
      <x:c r="D5" s="5" t="str">
        <x:v>REGASIFICATION</x:v>
      </x:c>
      <x:c r="E5" s="5" t="str">
        <x:v>HIGH</x:v>
      </x:c>
    </x:row>
    <x:row r="6">
      <x:c r="A6" s="5" t="str">
        <x:v>A005</x:v>
      </x:c>
      <x:c r="B6" s="5" t="str">
        <x:v>S002</x:v>
      </x:c>
      <x:c r="C6" s="5" t="str">
        <x:v>Cold Tech Skid 01</x:v>
      </x:c>
      <x:c r="D6" s="5" t="str">
        <x:v>COLD_TECH</x:v>
      </x:c>
      <x:c r="E6" s="5" t="str">
        <x:v>MEDIUM</x:v>
      </x:c>
    </x:row>
    <x:row r="7">
      <x:c r="A7" s="5" t="str">
        <x:v>A006</x:v>
      </x:c>
      <x:c r="B7" s="5" t="str">
        <x:v>S002</x:v>
      </x:c>
      <x:c r="C7" s="5" t="str">
        <x:v>Pressure Management Unit 01</x:v>
      </x:c>
      <x:c r="D7" s="5" t="str">
        <x:v>PRESSURE_MANAGEMENT</x:v>
      </x:c>
      <x:c r="E7" s="5" t="str">
        <x:v>HIGH</x:v>
      </x:c>
    </x:row>
    <x:row r="8">
      <x:c r="A8" s="5" t="str">
        <x:v>A007</x:v>
      </x:c>
      <x:c r="B8" s="5" t="str">
        <x:v>S003</x:v>
      </x:c>
      <x:c r="C8" s="5" t="str">
        <x:v>Onshore Vaporizer 01</x:v>
      </x:c>
      <x:c r="D8" s="5" t="str">
        <x:v>REGASIFICATION</x:v>
      </x:c>
      <x:c r="E8" s="5" t="str">
        <x:v>HIGH</x:v>
      </x:c>
    </x:row>
    <x:row r="9">
      <x:c r="A9" s="5" t="str">
        <x:v>A008</x:v>
      </x:c>
      <x:c r="B9" s="5" t="str">
        <x:v>S003</x:v>
      </x:c>
      <x:c r="C9" s="5" t="str">
        <x:v>Re-liquefaction Box 01</x:v>
      </x:c>
      <x:c r="D9" s="5" t="str">
        <x:v>RELIQUEFACTION</x:v>
      </x:c>
      <x:c r="E9" s="5" t="str">
        <x:v>MEDIUM</x:v>
      </x:c>
    </x:row>
    <x:row r="10">
      <x:c r="A10" s="5" t="str">
        <x:v>A009</x:v>
      </x:c>
      <x:c r="B10" s="5" t="str">
        <x:v>S003</x:v>
      </x:c>
      <x:c r="C10" s="5" t="str">
        <x:v>Cargo Handling Arm 02</x:v>
      </x:c>
      <x:c r="D10" s="5" t="str">
        <x:v>CARGO_HANDLING</x:v>
      </x:c>
      <x:c r="E10" s="5" t="str">
        <x:v>MEDIUM</x:v>
      </x:c>
    </x:row>
    <x:row r="11">
      <x:c r="A11" s="5" t="str">
        <x:v>A010</x:v>
      </x:c>
      <x:c r="B11" s="5" t="str">
        <x:v>S004</x:v>
      </x:c>
      <x:c r="C11" s="5" t="str">
        <x:v>Jetty Regas Module 01</x:v>
      </x:c>
      <x:c r="D11" s="5" t="str">
        <x:v>REGASIFICATION</x:v>
      </x:c>
      <x:c r="E11" s="5" t="str">
        <x:v>HIGH</x:v>
      </x:c>
    </x:row>
    <x:row r="12">
      <x:c r="A12" s="5" t="str">
        <x:v>A011</x:v>
      </x:c>
      <x:c r="B12" s="5" t="str">
        <x:v>S004</x:v>
      </x:c>
      <x:c r="C12" s="5" t="str">
        <x:v>BOG Compressor 02</x:v>
      </x:c>
      <x:c r="D12" s="5" t="str">
        <x:v>BOG_MANAGEMENT</x:v>
      </x:c>
      <x:c r="E12" s="5" t="str">
        <x:v>HIGH</x:v>
      </x:c>
    </x:row>
    <x:row r="13">
      <x:c r="A13" s="5" t="str">
        <x:v>A012</x:v>
      </x:c>
      <x:c r="B13" s="5" t="str">
        <x:v>S004</x:v>
      </x:c>
      <x:c r="C13" s="5" t="str">
        <x:v>Truck Loading Bay 01</x:v>
      </x:c>
      <x:c r="D13" s="5" t="str">
        <x:v>CARGO_HANDLING</x:v>
      </x:c>
      <x:c r="E13" s="5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889cbfacf31240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10" max="10" width="14" hidden="0" customWidth="1"/>
    <x:col min="11" max="11" width="18" hidden="0" customWidth="1"/>
  </x:cols>
  <x:sheetData>
    <x:row r="1" ht="30" customHeight="1">
      <x:c r="A1" s="14" t="str">
        <x:v>GasEntec LNG Operations Data Review</x:v>
      </x:c>
      <x:c r="B1" s="14" t="str">
        <x:v>GasEntec LNG Operations Data Review</x:v>
      </x:c>
      <x:c r="C1" s="14" t="str">
        <x:v>GasEntec LNG Operations Data Review</x:v>
      </x:c>
      <x:c r="D1" s="14" t="str">
        <x:v>GasEntec LNG Operations Data Review</x:v>
      </x:c>
      <x:c r="E1" s="14" t="str">
        <x:v>GasEntec LNG Operations Data Review</x:v>
      </x:c>
      <x:c r="F1" s="14" t="str">
        <x:v>GasEntec LNG Operations Data Review</x:v>
      </x:c>
      <x:c r="G1" s="14" t="str">
        <x:v>GasEntec LNG Operations Data Review</x:v>
      </x:c>
      <x:c r="H1" s="14" t="str">
        <x:v>GasEntec LNG Operations Data Review</x:v>
      </x:c>
      <x:c r="I1" s="14" t="str">
        <x:v>GasEntec LNG Operations Data Review</x:v>
      </x:c>
      <x:c r="J1" s="14" t="str">
        <x:v>GasEntec LNG Operations Data Review</x:v>
      </x:c>
      <x:c r="K1" s="14" t="str">
        <x:v>GasEntec LNG Operations Data Review</x:v>
      </x:c>
      <x:c r="L1" s="14" t="str">
        <x:v>GasEntec LNG Operations Data Review</x:v>
      </x:c>
      <x:c r="M1" s="14" t="str">
        <x:v>GasEntec LNG Operations Data Review</x:v>
      </x:c>
      <x:c r="N1" s="14" t="str">
        <x:v>GasEntec LNG Operations Data Review</x:v>
      </x:c>
      <x:c r="O1" s="14" t="str">
        <x:v>GasEntec LNG Operations Data Review</x:v>
      </x:c>
      <x:c r="P1" s="14" t="str">
        <x:v>GasEntec LNG Operations Data Review</x:v>
      </x:c>
      <x:c r="Q1" s="14" t="str">
        <x:v>GasEntec LNG Operations Data Review</x:v>
      </x:c>
    </x:row>
    <x:row r="3" ht="24" customHeight="1">
      <x:c r="A3" s="6" t="str">
        <x:v>Metric</x:v>
      </x:c>
      <x:c r="B3" s="8" t="str">
        <x:v>Value</x:v>
      </x:c>
    </x:row>
    <x:row r="4">
      <x:c r="A4" s="5" t="str">
        <x:v>Operation records</x:v>
      </x:c>
      <x:c r="B4" s="5" t="n">
        <x:f>COUNTA('Operations'!$A$2:$A$301)</x:f>
        <x:v>300</x:v>
      </x:c>
    </x:row>
    <x:row r="5">
      <x:c r="A5" s="5" t="str">
        <x:v>Sites</x:v>
      </x:c>
      <x:c r="B5" s="5" t="n">
        <x:f>COUNTA('Sites'!$A$2:$A$5)</x:f>
        <x:v>4</x:v>
      </x:c>
    </x:row>
    <x:row r="6">
      <x:c r="A6" s="5" t="str">
        <x:v>Assets</x:v>
      </x:c>
      <x:c r="B6" s="5" t="n">
        <x:f>COUNTA('Assets'!$A$2:$A$13)</x:f>
        <x:v>12</x:v>
      </x:c>
    </x:row>
    <x:row r="7">
      <x:c r="A7" s="5" t="str">
        <x:v>Total send-out (mmscfd)</x:v>
      </x:c>
      <x:c r="B7" s="9" t="n">
        <x:f>SUM('Operations'!$F$2:$F$301)</x:f>
        <x:v>100296.87999999995</x:v>
      </x:c>
    </x:row>
    <x:row r="8">
      <x:c r="A8" s="5" t="str">
        <x:v>Average uptime (%)</x:v>
      </x:c>
      <x:c r="B8" s="15" t="n">
        <x:f>AVERAGE('Operations'!$I$2:$I$301)</x:f>
        <x:v>97.20886666666665</x:v>
      </x:c>
    </x:row>
    <x:row r="9">
      <x:c r="A9" s="5" t="str">
        <x:v>Total maintenance cost (USD)</x:v>
      </x:c>
      <x:c r="B9" s="10" t="n">
        <x:f>SUM('Operations'!$L$2:$L$301)</x:f>
        <x:v>812102.21</x:v>
      </x:c>
    </x:row>
    <x:row r="12" ht="24" customHeight="1">
      <x:c r="A12" s="6" t="str">
        <x:v>Site ID</x:v>
      </x:c>
      <x:c r="B12" s="7" t="str">
        <x:v>Site Name</x:v>
      </x:c>
      <x:c r="C12" s="7" t="str">
        <x:v>Total send-out</x:v>
      </x:c>
      <x:c r="D12" s="7" t="str">
        <x:v>Avg uptime</x:v>
      </x:c>
      <x:c r="E12" s="7" t="str">
        <x:v>Downtime hours</x:v>
      </x:c>
      <x:c r="F12" s="7" t="str">
        <x:v>Maintenance cost</x:v>
      </x:c>
      <x:c r="G12" s="8" t="str">
        <x:v>ALARM records</x:v>
      </x:c>
      <x:c r="J12" s="6" t="str">
        <x:v>Month</x:v>
      </x:c>
      <x:c r="K12" s="8" t="str">
        <x:v>Total send-out</x:v>
      </x:c>
    </x:row>
    <x:row r="13">
      <x:c r="A13" s="5" t="str">
        <x:v>S001</x:v>
      </x:c>
      <x:c r="B13" s="5" t="str">
        <x:v>Philippines Hybrid Terminal (Demo)</x:v>
      </x:c>
      <x:c r="C13" s="9" t="n">
        <x:f>SUMIF('Operations'!$C$2:$C$301,A13,'Operations'!$F$2:$F$301)</x:f>
        <x:v>30504.519999999997</x:v>
      </x:c>
      <x:c r="D13" s="15" t="n">
        <x:f>AVERAGEIF('Operations'!$C$2:$C$301,A13,'Operations'!$I$2:$I$301)</x:f>
        <x:v>97.31559999999999</x:v>
      </x:c>
      <x:c r="E13" s="9" t="n">
        <x:f>SUMIF('Operations'!$C$2:$C$301,A13,'Operations'!$J$2:$J$301)</x:f>
        <x:v>40.54999999999999</x:v>
      </x:c>
      <x:c r="F13" s="10" t="n">
        <x:f>SUMIF('Operations'!$C$2:$C$301,A13,'Operations'!$L$2:$L$301)</x:f>
        <x:v>201794.98000000004</x:v>
      </x:c>
      <x:c r="G13" s="5" t="n">
        <x:f>SUMIFS('Operations'!$M$2:$M$301,'Operations'!$C$2:$C$301,A13,'Operations'!$N$2:$N$301,"ALARM")</x:f>
        <x:v>2</x:v>
      </x:c>
      <x:c r="J13" s="5" t="str">
        <x:v>2026-01</x:v>
      </x:c>
      <x:c r="K13" s="9" t="n">
        <x:f>SUMIF('Operations'!$O$2:$O$301,J13,'Operations'!$F$2:$F$301)</x:f>
        <x:v>21263.149999999994</x:v>
      </x:c>
    </x:row>
    <x:row r="14">
      <x:c r="A14" s="5" t="str">
        <x:v>S002</x:v>
      </x:c>
      <x:c r="B14" s="5" t="str">
        <x:v>Bali Small-Scale FRU (Demo)</x:v>
      </x:c>
      <x:c r="C14" s="9" t="n">
        <x:f>SUMIF('Operations'!$C$2:$C$301,A14,'Operations'!$F$2:$F$301)</x:f>
        <x:v>7303.3499999999985</x:v>
      </x:c>
      <x:c r="D14" s="15" t="n">
        <x:f>AVERAGEIF('Operations'!$C$2:$C$301,A14,'Operations'!$I$2:$I$301)</x:f>
        <x:v>97.17920000000001</x:v>
      </x:c>
      <x:c r="E14" s="9" t="n">
        <x:f>SUMIF('Operations'!$C$2:$C$301,A14,'Operations'!$J$2:$J$301)</x:f>
        <x:v>36.86000000000001</x:v>
      </x:c>
      <x:c r="F14" s="10" t="n">
        <x:f>SUMIF('Operations'!$C$2:$C$301,A14,'Operations'!$L$2:$L$301)</x:f>
        <x:v>217860.92999999993</x:v>
      </x:c>
      <x:c r="G14" s="5" t="n">
        <x:f>SUMIFS('Operations'!$M$2:$M$301,'Operations'!$C$2:$C$301,A14,'Operations'!$N$2:$N$301,"ALARM")</x:f>
        <x:v>1</x:v>
      </x:c>
      <x:c r="J14" s="5" t="str">
        <x:v>2026-02</x:v>
      </x:c>
      <x:c r="K14" s="9" t="n">
        <x:f>SUMIF('Operations'!$O$2:$O$301,J14,'Operations'!$F$2:$F$301)</x:f>
        <x:v>18988.380000000005</x:v>
      </x:c>
    </x:row>
    <x:row r="15">
      <x:c r="A15" s="5" t="str">
        <x:v>S003</x:v>
      </x:c>
      <x:c r="B15" s="5" t="str">
        <x:v>Aqaba Onshore Terminal (Demo)</x:v>
      </x:c>
      <x:c r="C15" s="9" t="n">
        <x:f>SUMIF('Operations'!$C$2:$C$301,A15,'Operations'!$F$2:$F$301)</x:f>
        <x:v>44036.2</x:v>
      </x:c>
      <x:c r="D15" s="15" t="n">
        <x:f>AVERAGEIF('Operations'!$C$2:$C$301,A15,'Operations'!$I$2:$I$301)</x:f>
        <x:v>97.13573333333333</x:v>
      </x:c>
      <x:c r="E15" s="9" t="n">
        <x:f>SUMIF('Operations'!$C$2:$C$301,A15,'Operations'!$J$2:$J$301)</x:f>
        <x:v>42.26000000000001</x:v>
      </x:c>
      <x:c r="F15" s="10" t="n">
        <x:f>SUMIF('Operations'!$C$2:$C$301,A15,'Operations'!$L$2:$L$301)</x:f>
        <x:v>200329.56999999998</x:v>
      </x:c>
      <x:c r="G15" s="5" t="n">
        <x:f>SUMIFS('Operations'!$M$2:$M$301,'Operations'!$C$2:$C$301,A15,'Operations'!$N$2:$N$301,"ALARM")</x:f>
        <x:v>2</x:v>
      </x:c>
      <x:c r="J15" s="5" t="str">
        <x:v>2026-03</x:v>
      </x:c>
      <x:c r="K15" s="9" t="n">
        <x:f>SUMIF('Operations'!$O$2:$O$301,J15,'Operations'!$F$2:$F$301)</x:f>
        <x:v>15546.020000000004</x:v>
      </x:c>
    </x:row>
    <x:row r="16">
      <x:c r="A16" s="5" t="str">
        <x:v>S004</x:v>
      </x:c>
      <x:c r="B16" s="5" t="str">
        <x:v>Dakar Jetty Regas Unit (Demo)</x:v>
      </x:c>
      <x:c r="C16" s="9" t="n">
        <x:f>SUMIF('Operations'!$C$2:$C$301,A16,'Operations'!$F$2:$F$301)</x:f>
        <x:v>18452.809999999994</x:v>
      </x:c>
      <x:c r="D16" s="15" t="n">
        <x:f>AVERAGEIF('Operations'!$C$2:$C$301,A16,'Operations'!$I$2:$I$301)</x:f>
        <x:v>97.20493333333334</x:v>
      </x:c>
      <x:c r="E16" s="9" t="n">
        <x:f>SUMIF('Operations'!$C$2:$C$301,A16,'Operations'!$J$2:$J$301)</x:f>
        <x:v>38.12</x:v>
      </x:c>
      <x:c r="F16" s="10" t="n">
        <x:f>SUMIF('Operations'!$C$2:$C$301,A16,'Operations'!$L$2:$L$301)</x:f>
        <x:v>192116.73</x:v>
      </x:c>
      <x:c r="G16" s="5" t="n">
        <x:f>SUMIFS('Operations'!$M$2:$M$301,'Operations'!$C$2:$C$301,A16,'Operations'!$N$2:$N$301,"ALARM")</x:f>
        <x:v>2</x:v>
      </x:c>
      <x:c r="J16" s="5" t="str">
        <x:v>2026-04</x:v>
      </x:c>
      <x:c r="K16" s="9" t="n">
        <x:f>SUMIF('Operations'!$O$2:$O$301,J16,'Operations'!$F$2:$F$301)</x:f>
        <x:v>14306.239999999996</x:v>
      </x:c>
    </x:row>
    <x:row r="17">
      <x:c r="J17" s="5" t="str">
        <x:v>2026-05</x:v>
      </x:c>
      <x:c r="K17" s="9" t="n">
        <x:f>SUMIF('Operations'!$O$2:$O$301,J17,'Operations'!$F$2:$F$301)</x:f>
        <x:v>16125.500000000002</x:v>
      </x:c>
    </x:row>
    <x:row r="18">
      <x:c r="J18" s="5" t="str">
        <x:v>2026-06</x:v>
      </x:c>
      <x:c r="K18" s="9" t="n">
        <x:f>SUMIF('Operations'!$O$2:$O$301,J18,'Operations'!$F$2:$F$301)</x:f>
        <x:v>14067.59</x:v>
      </x:c>
    </x:row>
  </x:sheetData>
  <x:mergeCells>
    <x:mergeCell ref="A1:Q1"/>
  </x:mergeCells>
  <x:pageMargins left="0.7" right="0.7" top="0.75" bottom="0.75" header="0.3" footer="0.3"/>
  <x:drawing xmlns:r="http://schemas.openxmlformats.org/officeDocument/2006/relationships" r:id="R512b84fe168a42c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8" hidden="0" customWidth="1"/>
    <x:col min="3" max="3" width="34" hidden="0" customWidth="1"/>
    <x:col min="4" max="4" width="24" hidden="0" customWidth="1"/>
    <x:col min="5" max="5" width="42" hidden="0" customWidth="1"/>
  </x:cols>
  <x:sheetData>
    <x:row r="1" ht="24" customHeight="1">
      <x:c r="A1" s="6" t="str">
        <x:v>benchmark_id</x:v>
      </x:c>
      <x:c r="B1" s="7" t="str">
        <x:v>question</x:v>
      </x:c>
      <x:c r="C1" s="7" t="str">
        <x:v>expected_metric</x:v>
      </x:c>
      <x:c r="D1" s="7" t="str">
        <x:v>expected_group_by</x:v>
      </x:c>
      <x:c r="E1" s="8" t="str">
        <x:v>acceptance_rule</x:v>
      </x:c>
    </x:row>
    <x:row r="2">
      <x:c r="A2" s="5" t="str">
        <x:v>B001</x:v>
      </x:c>
      <x:c r="B2" s="5" t="str">
        <x:v>전체 기간의 총 send-out은 얼마야?</x:v>
      </x:c>
      <x:c r="C2" s="5" t="str">
        <x:v>total_sendout_mmscfd</x:v>
      </x:c>
      <x:c r="D2" s="5" t="str">
        <x:v>none</x:v>
      </x:c>
      <x:c r="E2" s="5" t="str">
        <x:v>single total returned</x:v>
      </x:c>
    </x:row>
    <x:row r="3">
      <x:c r="A3" s="5" t="str">
        <x:v>B001</x:v>
      </x:c>
      <x:c r="B3" s="5" t="str">
        <x:v>터미널별 평균 가동률을 비교해줘</x:v>
      </x:c>
      <x:c r="C3" s="5" t="str">
        <x:v>average_uptime_pct</x:v>
      </x:c>
      <x:c r="D3" s="5" t="str">
        <x:v>site_name</x:v>
      </x:c>
      <x:c r="E3" s="5" t="str">
        <x:v>four sites ranked descending</x:v>
      </x:c>
    </x:row>
    <x:row r="4">
      <x:c r="A4" s="5" t="str">
        <x:v>B001</x:v>
      </x:c>
      <x:c r="B4" s="5" t="str">
        <x:v>월별 send-out 추이를 보여줘</x:v>
      </x:c>
      <x:c r="C4" s="5" t="str">
        <x:v>total_sendout_mmscfd</x:v>
      </x:c>
      <x:c r="D4" s="5" t="str">
        <x:v>operation_month</x:v>
      </x:c>
      <x:c r="E4" s="5" t="str">
        <x:v>chronological monthly series</x:v>
      </x:c>
    </x:row>
    <x:row r="5">
      <x:c r="A5" s="5" t="str">
        <x:v>B001</x:v>
      </x:c>
      <x:c r="B5" s="5" t="str">
        <x:v>설비 유형별 다운타임과 유지보수 비용을 비교해줘</x:v>
      </x:c>
      <x:c r="C5" s="5" t="str">
        <x:v>total_downtime_hours,total_maintenance_cost_usd</x:v>
      </x:c>
      <x:c r="D5" s="5" t="str">
        <x:v>asset_category</x:v>
      </x:c>
      <x:c r="E5" s="5" t="str">
        <x:v>both measures returned</x:v>
      </x:c>
    </x:row>
    <x:row r="6">
      <x:c r="A6" s="5" t="str">
        <x:v>B001</x:v>
      </x:c>
      <x:c r="B6" s="5" t="str">
        <x:v>BOG 비율이 높은 상위 3개 설비를 보여줘</x:v>
      </x:c>
      <x:c r="C6" s="5" t="str">
        <x:v>average_boiloff_rate_pct</x:v>
      </x:c>
      <x:c r="D6" s="5" t="str">
        <x:v>asset_name</x:v>
      </x:c>
      <x:c r="E6" s="5" t="str">
        <x:v>top three assets returned</x:v>
      </x:c>
    </x:row>
    <x:row r="7">
      <x:c r="A7" s="5" t="str">
        <x:v>B001</x:v>
      </x:c>
      <x:c r="B7" s="5" t="str">
        <x:v>ALARM 상태 기록과 사고 건수를 알려줘</x:v>
      </x:c>
      <x:c r="C7" s="5" t="str">
        <x:v>alarm_operation_count,incident_count</x:v>
      </x:c>
      <x:c r="D7" s="5" t="str">
        <x:v>none</x:v>
      </x:c>
      <x:c r="E7" s="5" t="str">
        <x:v>safety counts returned</x:v>
      </x:c>
    </x:row>
  </x:sheetData>
  <x:pageMargins left="0.7" right="0.7" top="0.75" bottom="0.75" header="0.3" footer="0.3"/>
  <x:tableParts count="1">
    <x:tablePart xmlns:r="http://schemas.openxmlformats.org/officeDocument/2006/relationships" r:id="Rbef988ef022c45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24" hidden="0" customWidth="1"/>
    <x:col min="4" max="4" width="44" hidden="0" customWidth="1"/>
    <x:col min="5" max="5" width="10" hidden="0" customWidth="1"/>
  </x:cols>
  <x:sheetData>
    <x:row r="1" ht="24" customHeight="1">
      <x:c r="A1" s="6" t="str">
        <x:v>case_id</x:v>
      </x:c>
      <x:c r="B1" s="7" t="str">
        <x:v>question</x:v>
      </x:c>
      <x:c r="C1" s="7" t="str">
        <x:v>expected_route</x:v>
      </x:c>
      <x:c r="D1" s="7" t="str">
        <x:v>expected_behavior</x:v>
      </x:c>
      <x:c r="E1" s="8" t="str">
        <x:v>score</x:v>
      </x:c>
    </x:row>
    <x:row r="2">
      <x:c r="A2" s="5" t="str">
        <x:v>A001</x:v>
      </x:c>
      <x:c r="B2" s="5" t="str">
        <x:v>터미널별 평균 가동률을 비교해줘</x:v>
      </x:c>
      <x:c r="C2" s="5" t="str">
        <x:v>genie_agent</x:v>
      </x:c>
      <x:c r="D2" s="5" t="str">
        <x:v>metric view query and ranked table</x:v>
      </x:c>
      <x:c r="E2" s="5" t="str">
        <x:v>1</x:v>
      </x:c>
    </x:row>
    <x:row r="3">
      <x:c r="A3" s="5" t="str">
        <x:v>A002</x:v>
      </x:c>
      <x:c r="B3" s="5" t="str">
        <x:v>BOG가 뭐야?</x:v>
      </x:c>
      <x:c r="C3" s="5" t="str">
        <x:v>ai_search</x:v>
      </x:c>
      <x:c r="D3" s="5" t="str">
        <x:v>glossary definition and alias</x:v>
      </x:c>
      <x:c r="E3" s="5" t="str">
        <x:v>1</x:v>
      </x:c>
    </x:row>
    <x:row r="4">
      <x:c r="A4" s="5" t="str">
        <x:v>A003</x:v>
      </x:c>
      <x:c r="B4" s="5" t="str">
        <x:v>월별 send-out 추이를 대시보드로 만들어줘</x:v>
      </x:c>
      <x:c r="C4" s="5" t="str">
        <x:v>genie_agent</x:v>
      </x:c>
      <x:c r="D4" s="5" t="str">
        <x:v>AI/BI dashboard specification</x:v>
      </x:c>
      <x:c r="E4" s="5" t="str">
        <x:v>1</x:v>
      </x:c>
    </x:row>
    <x:row r="5">
      <x:c r="A5" s="5" t="str">
        <x:v>A004</x:v>
      </x:c>
      <x:c r="B5" s="5" t="str">
        <x:v>성능이 좋은 터미널을 알려줘</x:v>
      </x:c>
      <x:c r="C5" s="5" t="str">
        <x:v>supervisor_clarify</x:v>
      </x:c>
      <x:c r="D5" s="5" t="str">
        <x:v>ask which performance metric</x:v>
      </x:c>
      <x:c r="E5" s="5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d33e4ade704d5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70" hidden="0" customWidth="1"/>
  </x:cols>
  <x:sheetData>
    <x:row r="1" ht="24" customHeight="1">
      <x:c r="A1" s="6" t="str">
        <x:v>metric</x:v>
      </x:c>
      <x:c r="B1" s="7" t="str">
        <x:v>expected_value</x:v>
      </x:c>
      <x:c r="C1" s="8" t="str">
        <x:v>validation_sql</x:v>
      </x:c>
    </x:row>
    <x:row r="2">
      <x:c r="A2" s="5" t="str">
        <x:v>total_operation_records</x:v>
      </x:c>
      <x:c r="B2" s="5" t="str">
        <x:v>300</x:v>
      </x:c>
      <x:c r="C2" s="5" t="str">
        <x:v>SELECT COUNT(*) FROM gasentec_training.gasentec_hands_on.gold_lng_operations</x:v>
      </x:c>
    </x:row>
    <x:row r="3">
      <x:c r="A3" s="5" t="str">
        <x:v>total_sites</x:v>
      </x:c>
      <x:c r="B3" s="5" t="str">
        <x:v>4</x:v>
      </x:c>
      <x:c r="C3" s="5" t="str">
        <x:v>see metric view query</x:v>
      </x:c>
    </x:row>
    <x:row r="4">
      <x:c r="A4" s="5" t="str">
        <x:v>total_assets</x:v>
      </x:c>
      <x:c r="B4" s="5" t="str">
        <x:v>12</x:v>
      </x:c>
      <x:c r="C4" s="5" t="str">
        <x:v>see metric view query</x:v>
      </x:c>
    </x:row>
    <x:row r="5">
      <x:c r="A5" s="5" t="str">
        <x:v>total_sendout_mmscfd</x:v>
      </x:c>
      <x:c r="B5" s="5" t="str">
        <x:v>100296.88</x:v>
      </x:c>
      <x:c r="C5" s="5" t="str">
        <x:v>see metric view query</x:v>
      </x:c>
    </x:row>
    <x:row r="6">
      <x:c r="A6" s="5" t="str">
        <x:v>average_uptime_pct</x:v>
      </x:c>
      <x:c r="B6" s="5" t="str">
        <x:v>97.21</x:v>
      </x:c>
      <x:c r="C6" s="5" t="str">
        <x:v>see metric view query</x:v>
      </x:c>
    </x:row>
    <x:row r="7">
      <x:c r="A7" s="5" t="str">
        <x:v>total_maintenance_cost_usd</x:v>
      </x:c>
      <x:c r="B7" s="5" t="str">
        <x:v>812102.21</x:v>
      </x:c>
      <x:c r="C7" s="5" t="str">
        <x:v>see metric view query</x:v>
      </x:c>
    </x:row>
    <x:row r="8">
      <x:c r="A8" s="5" t="str">
        <x:v>alarm_operation_count</x:v>
      </x:c>
      <x:c r="B8" s="5" t="str">
        <x:v>7</x:v>
      </x:c>
      <x:c r="C8" s="5" t="str">
        <x:v>see metric view query</x:v>
      </x:c>
    </x:row>
  </x:sheetData>
  <x:pageMargins left="0.7" right="0.7" top="0.75" bottom="0.75" header="0.3" footer="0.3"/>
  <x:tableParts count="1">
    <x:tablePart xmlns:r="http://schemas.openxmlformats.org/officeDocument/2006/relationships" r:id="R5d83b1771cfb4fa2"/>
  </x:tableParts>
</x:worksheet>
</file>